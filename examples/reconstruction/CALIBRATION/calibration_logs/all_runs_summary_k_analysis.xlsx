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time-series-autoencoder\examples\reconstruction\"/>
    </mc:Choice>
  </mc:AlternateContent>
  <xr:revisionPtr revIDLastSave="0" documentId="8_{005314A7-6D25-45A8-B5DC-2C5C23F629A3}" xr6:coauthVersionLast="47" xr6:coauthVersionMax="47" xr10:uidLastSave="{00000000-0000-0000-0000-000000000000}"/>
  <bookViews>
    <workbookView xWindow="6562" yWindow="945" windowWidth="21600" windowHeight="13785" xr2:uid="{29B8D7FC-5E1D-44EA-AB55-521BD28CA50F}"/>
  </bookViews>
  <sheets>
    <sheet name="Foglio1" sheetId="2" r:id="rId1"/>
    <sheet name="all_runs_summary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C8" i="2" l="1"/>
  <c r="D8" i="2"/>
  <c r="E8" i="2"/>
  <c r="F8" i="2"/>
  <c r="G8" i="2"/>
  <c r="B8" i="2"/>
</calcChain>
</file>

<file path=xl/sharedStrings.xml><?xml version="1.0" encoding="utf-8"?>
<sst xmlns="http://schemas.openxmlformats.org/spreadsheetml/2006/main" count="61" uniqueCount="46">
  <si>
    <t>run_date</t>
  </si>
  <si>
    <t>run_time</t>
  </si>
  <si>
    <t>run_subdir</t>
  </si>
  <si>
    <t>folder_joint_id</t>
  </si>
  <si>
    <t>folder_seq_l</t>
  </si>
  <si>
    <t>folder_i_att</t>
  </si>
  <si>
    <t>folder_t_att</t>
  </si>
  <si>
    <t>folder_h_size</t>
  </si>
  <si>
    <t>folder_ovlap</t>
  </si>
  <si>
    <t>folder_schd</t>
  </si>
  <si>
    <t>folder_lr</t>
  </si>
  <si>
    <t>run_dir</t>
  </si>
  <si>
    <t>joint_id</t>
  </si>
  <si>
    <t>input_att</t>
  </si>
  <si>
    <t>temporal_att</t>
  </si>
  <si>
    <t>hidden_size</t>
  </si>
  <si>
    <t>seq_len</t>
  </si>
  <si>
    <t>overlap</t>
  </si>
  <si>
    <t>global_step</t>
  </si>
  <si>
    <t>epoch</t>
  </si>
  <si>
    <t>custom_score</t>
  </si>
  <si>
    <t>MSE</t>
  </si>
  <si>
    <t>std</t>
  </si>
  <si>
    <t>eval_loss</t>
  </si>
  <si>
    <t>residuals</t>
  </si>
  <si>
    <t>loss</t>
  </si>
  <si>
    <t>csv_path</t>
  </si>
  <si>
    <t>output</t>
  </si>
  <si>
    <t>False</t>
  </si>
  <si>
    <t>True</t>
  </si>
  <si>
    <t>-0.0006291131</t>
  </si>
  <si>
    <t>multirun\2026-05-24\17-11-01\2\output\best_model_results.csv</t>
  </si>
  <si>
    <t>0.00014286421</t>
  </si>
  <si>
    <t>multirun\2026-05-24\17-11-01\3\output\best_model_results.csv</t>
  </si>
  <si>
    <t>-0.0012583712</t>
  </si>
  <si>
    <t>multirun\2026-05-24\17-11-01\1\output\best_model_results.csv</t>
  </si>
  <si>
    <t>-0.0014301143</t>
  </si>
  <si>
    <t>multirun\2026-05-24\17-11-01\5\output\best_model_results.csv</t>
  </si>
  <si>
    <t>-0.00050502404</t>
  </si>
  <si>
    <t>multirun\2026-05-24\17-11-01\4\output\best_model_results.csv</t>
  </si>
  <si>
    <t>multirun\2026-05-24\17-11-01\6\output\best_model_results.csv</t>
  </si>
  <si>
    <t>Etichette di colonna</t>
  </si>
  <si>
    <t>Totale complessivo</t>
  </si>
  <si>
    <t>Media di custom_score</t>
  </si>
  <si>
    <t>Custom_score vecchio</t>
  </si>
  <si>
    <t>Custom_score nuovo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</si>
</sst>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1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" refreshedDate="46167.306510416667" createdVersion="8" refreshedVersion="8" minRefreshableVersion="3" recordCount="6" xr:uid="{3931BC15-08CA-4100-9067-A08B6BF36AE8}">
  <cacheSource type="worksheet">
    <worksheetSource ref="A1:AA7" sheet="all_runs_summary"/>
  </cacheSource>
  <cacheFields count="27">
    <cacheField name="run_date" numFmtId="14">
      <sharedItems containsSemiMixedTypes="0" containsNonDate="0" containsDate="1" containsString="0" minDate="2026-05-24T00:00:00" maxDate="2026-05-25T00:00:00"/>
    </cacheField>
    <cacheField name="run_time" numFmtId="14">
      <sharedItems containsSemiMixedTypes="0" containsNonDate="0" containsDate="1" containsString="0" minDate="2001-11-17T00:00:00" maxDate="2001-11-18T00:00:00"/>
    </cacheField>
    <cacheField name="run_subdir" numFmtId="0">
      <sharedItems containsSemiMixedTypes="0" containsString="0" containsNumber="1" containsInteger="1" minValue="1" maxValue="6"/>
    </cacheField>
    <cacheField name="folder_joint_id" numFmtId="0">
      <sharedItems containsNonDate="0" containsString="0" containsBlank="1"/>
    </cacheField>
    <cacheField name="folder_seq_l" numFmtId="0">
      <sharedItems containsNonDate="0" containsString="0" containsBlank="1"/>
    </cacheField>
    <cacheField name="folder_i_att" numFmtId="0">
      <sharedItems containsNonDate="0" containsString="0" containsBlank="1"/>
    </cacheField>
    <cacheField name="folder_t_att" numFmtId="0">
      <sharedItems containsNonDate="0" containsString="0" containsBlank="1"/>
    </cacheField>
    <cacheField name="folder_h_size" numFmtId="0">
      <sharedItems containsNonDate="0" containsString="0" containsBlank="1"/>
    </cacheField>
    <cacheField name="folder_ovlap" numFmtId="0">
      <sharedItems containsNonDate="0" containsString="0" containsBlank="1"/>
    </cacheField>
    <cacheField name="folder_schd" numFmtId="0">
      <sharedItems containsNonDate="0" containsString="0" containsBlank="1"/>
    </cacheField>
    <cacheField name="folder_lr" numFmtId="0">
      <sharedItems containsNonDate="0" containsString="0" containsBlank="1"/>
    </cacheField>
    <cacheField name="run_dir" numFmtId="0">
      <sharedItems/>
    </cacheField>
    <cacheField name="joint_id" numFmtId="0">
      <sharedItems containsSemiMixedTypes="0" containsString="0" containsNumber="1" containsInteger="1" minValue="1" maxValue="6" count="6">
        <n v="2"/>
        <n v="3"/>
        <n v="1"/>
        <n v="5"/>
        <n v="4"/>
        <n v="6"/>
      </sharedItems>
    </cacheField>
    <cacheField name="input_att" numFmtId="0">
      <sharedItems/>
    </cacheField>
    <cacheField name="temporal_att" numFmtId="0">
      <sharedItems/>
    </cacheField>
    <cacheField name="hidden_size" numFmtId="0">
      <sharedItems containsSemiMixedTypes="0" containsString="0" containsNumber="1" containsInteger="1" minValue="48" maxValue="48"/>
    </cacheField>
    <cacheField name="seq_len" numFmtId="0">
      <sharedItems containsSemiMixedTypes="0" containsString="0" containsNumber="1" containsInteger="1" minValue="128" maxValue="128"/>
    </cacheField>
    <cacheField name="overlap" numFmtId="0">
      <sharedItems containsSemiMixedTypes="0" containsString="0" containsNumber="1" minValue="0.05" maxValue="0.05"/>
    </cacheField>
    <cacheField name="global_step" numFmtId="0">
      <sharedItems containsSemiMixedTypes="0" containsString="0" containsNumber="1" containsInteger="1" minValue="1996" maxValue="2940"/>
    </cacheField>
    <cacheField name="epoch" numFmtId="0">
      <sharedItems containsSemiMixedTypes="0" containsString="0" containsNumber="1" containsInteger="1" minValue="84" maxValue="123"/>
    </cacheField>
    <cacheField name="custom_score" numFmtId="0">
      <sharedItems containsSemiMixedTypes="0" containsString="0" containsNumber="1" minValue="3.2093309273477002E-3" maxValue="1.5390647342428501E-2"/>
    </cacheField>
    <cacheField name="MSE" numFmtId="0">
      <sharedItems containsSemiMixedTypes="0" containsString="0" containsNumber="1" minValue="1.8222348298877001E-3" maxValue="7.5408797711133003E-3"/>
    </cacheField>
    <cacheField name="std" numFmtId="0">
      <sharedItems containsSemiMixedTypes="0" containsString="0" containsNumber="1" minValue="4.6236536582000001E-4" maxValue="2.7144090272486002E-3"/>
    </cacheField>
    <cacheField name="eval_loss" numFmtId="0">
      <sharedItems containsSemiMixedTypes="0" containsString="0" containsNumber="1" minValue="1.8036989495158E-3" maxValue="7.6026885903306999E-3"/>
    </cacheField>
    <cacheField name="residuals" numFmtId="0">
      <sharedItems containsMixedTypes="1" containsNumber="1" minValue="-477.41574000000003" maxValue="-477.41574000000003"/>
    </cacheField>
    <cacheField name="loss" numFmtId="0">
      <sharedItems containsSemiMixedTypes="0" containsString="0" containsNumber="1" minValue="1.8036989495158E-3" maxValue="7.6026885903306999E-3"/>
    </cacheField>
    <cacheField name="csv_pa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d v="2026-05-24T00:00:00"/>
    <d v="2001-11-17T00:00:00"/>
    <n v="2"/>
    <m/>
    <m/>
    <m/>
    <m/>
    <m/>
    <m/>
    <m/>
    <m/>
    <s v="output"/>
    <x v="0"/>
    <s v="False"/>
    <s v="True"/>
    <n v="48"/>
    <n v="128"/>
    <n v="0.05"/>
    <n v="2412"/>
    <n v="101"/>
    <n v="3.2093309273477002E-3"/>
    <n v="1.8222348298877001E-3"/>
    <n v="4.6236536582000001E-4"/>
    <n v="1.8036989495158E-3"/>
    <s v="-0.0006291131"/>
    <n v="1.8036989495158E-3"/>
    <s v="multirun\2026-05-24\17-11-01\2\output\best_model_results.csv"/>
  </r>
  <r>
    <d v="2026-05-24T00:00:00"/>
    <d v="2001-11-17T00:00:00"/>
    <n v="3"/>
    <m/>
    <m/>
    <m/>
    <m/>
    <m/>
    <m/>
    <m/>
    <m/>
    <s v="output"/>
    <x v="1"/>
    <s v="False"/>
    <s v="True"/>
    <n v="48"/>
    <n v="128"/>
    <n v="0.05"/>
    <n v="2940"/>
    <n v="123"/>
    <n v="7.3358198860659996E-3"/>
    <n v="3.7273075431585E-3"/>
    <n v="1.2028374476358E-3"/>
    <n v="3.7316266846443001E-3"/>
    <s v="0.00014286421"/>
    <n v="3.7316266846443001E-3"/>
    <s v="multirun\2026-05-24\17-11-01\3\output\best_model_results.csv"/>
  </r>
  <r>
    <d v="2026-05-24T00:00:00"/>
    <d v="2001-11-17T00:00:00"/>
    <n v="1"/>
    <m/>
    <m/>
    <m/>
    <m/>
    <m/>
    <m/>
    <m/>
    <m/>
    <s v="output"/>
    <x v="2"/>
    <s v="False"/>
    <s v="True"/>
    <n v="48"/>
    <n v="128"/>
    <n v="0.05"/>
    <n v="1996"/>
    <n v="84"/>
    <n v="7.5264455517752996E-3"/>
    <n v="3.0738615896551999E-3"/>
    <n v="1.48419465404E-3"/>
    <n v="3.0921190378388999E-3"/>
    <s v="-0.0012583712"/>
    <n v="3.0921190378388999E-3"/>
    <s v="multirun\2026-05-24\17-11-01\1\output\best_model_results.csv"/>
  </r>
  <r>
    <d v="2026-05-24T00:00:00"/>
    <d v="2001-11-17T00:00:00"/>
    <n v="5"/>
    <m/>
    <m/>
    <m/>
    <m/>
    <m/>
    <m/>
    <m/>
    <m/>
    <s v="output"/>
    <x v="3"/>
    <s v="False"/>
    <s v="True"/>
    <n v="48"/>
    <n v="128"/>
    <n v="0.05"/>
    <n v="2800"/>
    <n v="117"/>
    <n v="1.07400957494974E-2"/>
    <n v="4.5649227686226004E-3"/>
    <n v="2.0583909936249E-3"/>
    <n v="4.7101758952651004E-3"/>
    <s v="-0.0014301143"/>
    <n v="4.7101758952651004E-3"/>
    <s v="multirun\2026-05-24\17-11-01\5\output\best_model_results.csv"/>
  </r>
  <r>
    <d v="2026-05-24T00:00:00"/>
    <d v="2001-11-17T00:00:00"/>
    <n v="4"/>
    <m/>
    <m/>
    <m/>
    <m/>
    <m/>
    <m/>
    <m/>
    <m/>
    <s v="output"/>
    <x v="4"/>
    <s v="False"/>
    <s v="True"/>
    <n v="48"/>
    <n v="128"/>
    <n v="0.05"/>
    <n v="2936"/>
    <n v="123"/>
    <n v="1.19997328147292E-2"/>
    <n v="3.8565057329833E-3"/>
    <n v="2.7144090272486002E-3"/>
    <n v="3.9754691533743997E-3"/>
    <s v="-0.00050502404"/>
    <n v="3.9754691533743997E-3"/>
    <s v="multirun\2026-05-24\17-11-01\4\output\best_model_results.csv"/>
  </r>
  <r>
    <d v="2026-05-24T00:00:00"/>
    <d v="2001-11-17T00:00:00"/>
    <n v="6"/>
    <m/>
    <m/>
    <m/>
    <m/>
    <m/>
    <m/>
    <m/>
    <m/>
    <s v="output"/>
    <x v="5"/>
    <s v="False"/>
    <s v="True"/>
    <n v="48"/>
    <n v="128"/>
    <n v="0.05"/>
    <n v="2892"/>
    <n v="121"/>
    <n v="1.5390647342428501E-2"/>
    <n v="7.5408797711133003E-3"/>
    <n v="2.6165891904383E-3"/>
    <n v="7.6026885903306999E-3"/>
    <n v="-477.41574000000003"/>
    <n v="7.6026885903306999E-3"/>
    <s v="multirun\2026-05-24\17-11-01\6\output\best_model_results.cs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83B18-13FE-4C08-B8DA-04175A7C036F}" name="Tabella pivot1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H5" firstHeaderRow="1" firstDataRow="2" firstDataCol="1"/>
  <pivotFields count="27"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2"/>
        <item x="0"/>
        <item x="1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edia di custom_score" fld="20" subtotal="average" baseField="12" baseItem="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2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3D6A-8AC1-4831-B214-EC5353214AB7}">
  <dimension ref="A3:H8"/>
  <sheetViews>
    <sheetView tabSelected="1" workbookViewId="0">
      <selection activeCell="A8" sqref="A8"/>
    </sheetView>
  </sheetViews>
  <sheetFormatPr defaultRowHeight="14.25" x14ac:dyDescent="0.45"/>
  <cols>
    <col min="1" max="1" width="19.73046875" bestFit="1" customWidth="1"/>
    <col min="2" max="2" width="19.265625" bestFit="1" customWidth="1"/>
    <col min="3" max="3" width="11.73046875" bestFit="1" customWidth="1"/>
    <col min="4" max="4" width="10.73046875" bestFit="1" customWidth="1"/>
    <col min="5" max="7" width="11.73046875" bestFit="1" customWidth="1"/>
    <col min="8" max="8" width="16.3984375" bestFit="1" customWidth="1"/>
  </cols>
  <sheetData>
    <row r="3" spans="1:8" x14ac:dyDescent="0.45">
      <c r="B3" s="3" t="s">
        <v>41</v>
      </c>
    </row>
    <row r="4" spans="1:8" x14ac:dyDescent="0.4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 t="s">
        <v>42</v>
      </c>
    </row>
    <row r="5" spans="1:8" x14ac:dyDescent="0.45">
      <c r="A5" t="s">
        <v>43</v>
      </c>
      <c r="B5" s="4">
        <v>7.5264455517752996E-3</v>
      </c>
      <c r="C5" s="4">
        <v>3.2093309273477002E-3</v>
      </c>
      <c r="D5" s="4">
        <v>7.3358198860659996E-3</v>
      </c>
      <c r="E5" s="4">
        <v>1.19997328147292E-2</v>
      </c>
      <c r="F5" s="4">
        <v>1.07400957494974E-2</v>
      </c>
      <c r="G5" s="4">
        <v>1.5390647342428501E-2</v>
      </c>
      <c r="H5" s="4">
        <v>9.3670120453073508E-3</v>
      </c>
    </row>
    <row r="6" spans="1:8" x14ac:dyDescent="0.45">
      <c r="A6" t="s">
        <v>44</v>
      </c>
      <c r="B6">
        <v>8.5966046899556992E-3</v>
      </c>
      <c r="C6">
        <v>4.1860900237224996E-3</v>
      </c>
      <c r="D6">
        <v>8.4684386383742007E-3</v>
      </c>
      <c r="E6">
        <v>1.6750267473980701E-2</v>
      </c>
      <c r="F6">
        <v>1.46186253987252E-2</v>
      </c>
      <c r="G6">
        <v>1.61698611918836E-2</v>
      </c>
    </row>
    <row r="7" spans="1:8" x14ac:dyDescent="0.45">
      <c r="A7" t="s">
        <v>45</v>
      </c>
      <c r="B7">
        <v>7.5264455517752996E-3</v>
      </c>
      <c r="C7">
        <v>3.2093309273477002E-3</v>
      </c>
      <c r="D7">
        <v>7.3358198860659996E-3</v>
      </c>
      <c r="E7">
        <v>1.19997328147292E-2</v>
      </c>
      <c r="F7">
        <v>1.07400957494974E-2</v>
      </c>
      <c r="G7">
        <v>1.5390647342428501E-2</v>
      </c>
    </row>
    <row r="8" spans="1:8" x14ac:dyDescent="0.45">
      <c r="B8" s="5">
        <f>(B7/B6)-1</f>
        <v>-0.12448625669978486</v>
      </c>
      <c r="C8" s="5">
        <f t="shared" ref="C8:G8" si="0">(C7/C6)-1</f>
        <v>-0.23333446983689377</v>
      </c>
      <c r="D8" s="5">
        <f t="shared" si="0"/>
        <v>-0.13374587697616536</v>
      </c>
      <c r="E8" s="5">
        <f t="shared" si="0"/>
        <v>-0.28360948066237279</v>
      </c>
      <c r="F8" s="5">
        <f t="shared" si="0"/>
        <v>-0.26531425106262196</v>
      </c>
      <c r="G8" s="5">
        <f t="shared" si="0"/>
        <v>-4.8189272635576041E-2</v>
      </c>
    </row>
  </sheetData>
  <conditionalFormatting pivot="1" sqref="B5:G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C319-4A17-4C36-AA99-77CA921AEDCB}">
  <dimension ref="A1:AA7"/>
  <sheetViews>
    <sheetView workbookViewId="0">
      <selection sqref="A1:AA7"/>
    </sheetView>
  </sheetViews>
  <sheetFormatPr defaultRowHeight="14.25" x14ac:dyDescent="0.45"/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s="1">
        <v>46166</v>
      </c>
      <c r="B2" s="1">
        <v>37212</v>
      </c>
      <c r="C2">
        <v>2</v>
      </c>
      <c r="L2" t="s">
        <v>27</v>
      </c>
      <c r="M2">
        <v>2</v>
      </c>
      <c r="N2" t="s">
        <v>28</v>
      </c>
      <c r="O2" t="s">
        <v>29</v>
      </c>
      <c r="P2">
        <v>48</v>
      </c>
      <c r="Q2">
        <v>128</v>
      </c>
      <c r="R2">
        <v>0.05</v>
      </c>
      <c r="S2">
        <v>2412</v>
      </c>
      <c r="T2">
        <v>101</v>
      </c>
      <c r="U2">
        <v>3.2093309273477002E-3</v>
      </c>
      <c r="V2">
        <v>1.8222348298877001E-3</v>
      </c>
      <c r="W2">
        <v>4.6236536582000001E-4</v>
      </c>
      <c r="X2">
        <v>1.8036989495158E-3</v>
      </c>
      <c r="Y2" t="s">
        <v>30</v>
      </c>
      <c r="Z2">
        <v>1.8036989495158E-3</v>
      </c>
      <c r="AA2" t="s">
        <v>31</v>
      </c>
    </row>
    <row r="3" spans="1:27" x14ac:dyDescent="0.45">
      <c r="A3" s="1">
        <v>46166</v>
      </c>
      <c r="B3" s="1">
        <v>37212</v>
      </c>
      <c r="C3">
        <v>3</v>
      </c>
      <c r="L3" t="s">
        <v>27</v>
      </c>
      <c r="M3">
        <v>3</v>
      </c>
      <c r="N3" t="s">
        <v>28</v>
      </c>
      <c r="O3" t="s">
        <v>29</v>
      </c>
      <c r="P3">
        <v>48</v>
      </c>
      <c r="Q3">
        <v>128</v>
      </c>
      <c r="R3">
        <v>0.05</v>
      </c>
      <c r="S3">
        <v>2940</v>
      </c>
      <c r="T3">
        <v>123</v>
      </c>
      <c r="U3">
        <v>7.3358198860659996E-3</v>
      </c>
      <c r="V3">
        <v>3.7273075431585E-3</v>
      </c>
      <c r="W3">
        <v>1.2028374476358E-3</v>
      </c>
      <c r="X3">
        <v>3.7316266846443001E-3</v>
      </c>
      <c r="Y3" t="s">
        <v>32</v>
      </c>
      <c r="Z3">
        <v>3.7316266846443001E-3</v>
      </c>
      <c r="AA3" t="s">
        <v>33</v>
      </c>
    </row>
    <row r="4" spans="1:27" x14ac:dyDescent="0.45">
      <c r="A4" s="1">
        <v>46166</v>
      </c>
      <c r="B4" s="1">
        <v>37212</v>
      </c>
      <c r="C4">
        <v>1</v>
      </c>
      <c r="L4" t="s">
        <v>27</v>
      </c>
      <c r="M4">
        <v>1</v>
      </c>
      <c r="N4" t="s">
        <v>28</v>
      </c>
      <c r="O4" t="s">
        <v>29</v>
      </c>
      <c r="P4">
        <v>48</v>
      </c>
      <c r="Q4">
        <v>128</v>
      </c>
      <c r="R4">
        <v>0.05</v>
      </c>
      <c r="S4">
        <v>1996</v>
      </c>
      <c r="T4">
        <v>84</v>
      </c>
      <c r="U4">
        <v>7.5264455517752996E-3</v>
      </c>
      <c r="V4">
        <v>3.0738615896551999E-3</v>
      </c>
      <c r="W4">
        <v>1.48419465404E-3</v>
      </c>
      <c r="X4">
        <v>3.0921190378388999E-3</v>
      </c>
      <c r="Y4" t="s">
        <v>34</v>
      </c>
      <c r="Z4">
        <v>3.0921190378388999E-3</v>
      </c>
      <c r="AA4" t="s">
        <v>35</v>
      </c>
    </row>
    <row r="5" spans="1:27" x14ac:dyDescent="0.45">
      <c r="A5" s="1">
        <v>46166</v>
      </c>
      <c r="B5" s="1">
        <v>37212</v>
      </c>
      <c r="C5">
        <v>5</v>
      </c>
      <c r="L5" t="s">
        <v>27</v>
      </c>
      <c r="M5">
        <v>5</v>
      </c>
      <c r="N5" t="s">
        <v>28</v>
      </c>
      <c r="O5" t="s">
        <v>29</v>
      </c>
      <c r="P5">
        <v>48</v>
      </c>
      <c r="Q5">
        <v>128</v>
      </c>
      <c r="R5">
        <v>0.05</v>
      </c>
      <c r="S5">
        <v>2800</v>
      </c>
      <c r="T5">
        <v>117</v>
      </c>
      <c r="U5">
        <v>1.07400957494974E-2</v>
      </c>
      <c r="V5">
        <v>4.5649227686226004E-3</v>
      </c>
      <c r="W5">
        <v>2.0583909936249E-3</v>
      </c>
      <c r="X5">
        <v>4.7101758952651004E-3</v>
      </c>
      <c r="Y5" t="s">
        <v>36</v>
      </c>
      <c r="Z5">
        <v>4.7101758952651004E-3</v>
      </c>
      <c r="AA5" t="s">
        <v>37</v>
      </c>
    </row>
    <row r="6" spans="1:27" x14ac:dyDescent="0.45">
      <c r="A6" s="1">
        <v>46166</v>
      </c>
      <c r="B6" s="1">
        <v>37212</v>
      </c>
      <c r="C6">
        <v>4</v>
      </c>
      <c r="L6" t="s">
        <v>27</v>
      </c>
      <c r="M6">
        <v>4</v>
      </c>
      <c r="N6" t="s">
        <v>28</v>
      </c>
      <c r="O6" t="s">
        <v>29</v>
      </c>
      <c r="P6">
        <v>48</v>
      </c>
      <c r="Q6">
        <v>128</v>
      </c>
      <c r="R6">
        <v>0.05</v>
      </c>
      <c r="S6">
        <v>2936</v>
      </c>
      <c r="T6">
        <v>123</v>
      </c>
      <c r="U6">
        <v>1.19997328147292E-2</v>
      </c>
      <c r="V6">
        <v>3.8565057329833E-3</v>
      </c>
      <c r="W6">
        <v>2.7144090272486002E-3</v>
      </c>
      <c r="X6">
        <v>3.9754691533743997E-3</v>
      </c>
      <c r="Y6" t="s">
        <v>38</v>
      </c>
      <c r="Z6">
        <v>3.9754691533743997E-3</v>
      </c>
      <c r="AA6" t="s">
        <v>39</v>
      </c>
    </row>
    <row r="7" spans="1:27" x14ac:dyDescent="0.45">
      <c r="A7" s="1">
        <v>46166</v>
      </c>
      <c r="B7" s="1">
        <v>37212</v>
      </c>
      <c r="C7">
        <v>6</v>
      </c>
      <c r="L7" t="s">
        <v>27</v>
      </c>
      <c r="M7">
        <v>6</v>
      </c>
      <c r="N7" t="s">
        <v>28</v>
      </c>
      <c r="O7" t="s">
        <v>29</v>
      </c>
      <c r="P7">
        <v>48</v>
      </c>
      <c r="Q7">
        <v>128</v>
      </c>
      <c r="R7">
        <v>0.05</v>
      </c>
      <c r="S7">
        <v>2892</v>
      </c>
      <c r="T7">
        <v>121</v>
      </c>
      <c r="U7">
        <v>1.5390647342428501E-2</v>
      </c>
      <c r="V7">
        <v>7.5408797711133003E-3</v>
      </c>
      <c r="W7">
        <v>2.6165891904383E-3</v>
      </c>
      <c r="X7">
        <v>7.6026885903306999E-3</v>
      </c>
      <c r="Y7" s="2">
        <v>-477.41574000000003</v>
      </c>
      <c r="Z7">
        <v>7.6026885903306999E-3</v>
      </c>
      <c r="AA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all_runs_summary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Carlo Perrone</cp:lastModifiedBy>
  <dcterms:created xsi:type="dcterms:W3CDTF">2026-05-25T05:26:55Z</dcterms:created>
  <dcterms:modified xsi:type="dcterms:W3CDTF">2026-05-25T05:26:55Z</dcterms:modified>
</cp:coreProperties>
</file>