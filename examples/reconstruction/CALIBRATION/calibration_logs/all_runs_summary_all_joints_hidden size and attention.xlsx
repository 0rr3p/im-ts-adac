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time-series-autoencoder\examples\reconstruction\"/>
    </mc:Choice>
  </mc:AlternateContent>
  <xr:revisionPtr revIDLastSave="0" documentId="13_ncr:1_{73232A17-6F51-4778-A453-14995C171FEB}" xr6:coauthVersionLast="47" xr6:coauthVersionMax="47" xr10:uidLastSave="{00000000-0000-0000-0000-000000000000}"/>
  <bookViews>
    <workbookView xWindow="7200" yWindow="1530" windowWidth="21600" windowHeight="13785" activeTab="1" xr2:uid="{52DC5869-03E6-4A8D-85E2-668820FBBC9D}"/>
  </bookViews>
  <sheets>
    <sheet name="Foglio1" sheetId="2" r:id="rId1"/>
    <sheet name="Foglio2" sheetId="3" r:id="rId2"/>
    <sheet name="all_runs_summary_all_joints_hid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73" i="1" l="1"/>
  <c r="AA73" i="1"/>
  <c r="AC73" i="1" s="1"/>
  <c r="AB72" i="1"/>
  <c r="AA72" i="1"/>
  <c r="AC72" i="1" s="1"/>
  <c r="AB71" i="1"/>
  <c r="AA71" i="1"/>
  <c r="AC71" i="1" s="1"/>
  <c r="AB70" i="1"/>
  <c r="AA70" i="1"/>
  <c r="AC70" i="1" s="1"/>
  <c r="AC69" i="1"/>
  <c r="AB69" i="1"/>
  <c r="AA69" i="1"/>
  <c r="AB68" i="1"/>
  <c r="AA68" i="1"/>
  <c r="AC68" i="1" s="1"/>
  <c r="AB67" i="1"/>
  <c r="AA67" i="1"/>
  <c r="AC67" i="1" s="1"/>
  <c r="AB66" i="1"/>
  <c r="AA66" i="1"/>
  <c r="AC66" i="1" s="1"/>
  <c r="AB65" i="1"/>
  <c r="AA65" i="1"/>
  <c r="AC65" i="1" s="1"/>
  <c r="AB64" i="1"/>
  <c r="AA64" i="1"/>
  <c r="AC64" i="1" s="1"/>
  <c r="AB63" i="1"/>
  <c r="AA63" i="1"/>
  <c r="AB62" i="1"/>
  <c r="AA62" i="1"/>
  <c r="AC62" i="1" s="1"/>
  <c r="AB61" i="1"/>
  <c r="AA61" i="1"/>
  <c r="AC61" i="1" s="1"/>
  <c r="AB60" i="1"/>
  <c r="AA60" i="1"/>
  <c r="AC60" i="1" s="1"/>
  <c r="AB59" i="1"/>
  <c r="AA59" i="1"/>
  <c r="AC59" i="1" s="1"/>
  <c r="AB58" i="1"/>
  <c r="AA58" i="1"/>
  <c r="AC58" i="1" s="1"/>
  <c r="AB57" i="1"/>
  <c r="AA57" i="1"/>
  <c r="AC57" i="1" s="1"/>
  <c r="AB56" i="1"/>
  <c r="AA56" i="1"/>
  <c r="AC56" i="1" s="1"/>
  <c r="AB55" i="1"/>
  <c r="AA55" i="1"/>
  <c r="AC55" i="1" s="1"/>
  <c r="AB54" i="1"/>
  <c r="AA54" i="1"/>
  <c r="AC54" i="1" s="1"/>
  <c r="AB53" i="1"/>
  <c r="AA53" i="1"/>
  <c r="AC53" i="1" s="1"/>
  <c r="AB52" i="1"/>
  <c r="AA52" i="1"/>
  <c r="AC52" i="1" s="1"/>
  <c r="AB51" i="1"/>
  <c r="AA51" i="1"/>
  <c r="AC51" i="1" s="1"/>
  <c r="AB50" i="1"/>
  <c r="AA50" i="1"/>
  <c r="AC50" i="1" s="1"/>
  <c r="AB49" i="1"/>
  <c r="AA49" i="1"/>
  <c r="AC49" i="1" s="1"/>
  <c r="AB48" i="1"/>
  <c r="AA48" i="1"/>
  <c r="AC48" i="1" s="1"/>
  <c r="AB47" i="1"/>
  <c r="AA47" i="1"/>
  <c r="AB46" i="1"/>
  <c r="AA46" i="1"/>
  <c r="AC46" i="1" s="1"/>
  <c r="AB45" i="1"/>
  <c r="AA45" i="1"/>
  <c r="AC45" i="1" s="1"/>
  <c r="AB44" i="1"/>
  <c r="AA44" i="1"/>
  <c r="AC44" i="1" s="1"/>
  <c r="AB43" i="1"/>
  <c r="AA43" i="1"/>
  <c r="AC43" i="1" s="1"/>
  <c r="AB42" i="1"/>
  <c r="AA42" i="1"/>
  <c r="AC42" i="1" s="1"/>
  <c r="AB41" i="1"/>
  <c r="AA41" i="1"/>
  <c r="AC41" i="1" s="1"/>
  <c r="AB40" i="1"/>
  <c r="AA40" i="1"/>
  <c r="AC40" i="1" s="1"/>
  <c r="AB39" i="1"/>
  <c r="AA39" i="1"/>
  <c r="AB38" i="1"/>
  <c r="AA38" i="1"/>
  <c r="AC38" i="1" s="1"/>
  <c r="AB37" i="1"/>
  <c r="AA37" i="1"/>
  <c r="AC37" i="1" s="1"/>
  <c r="AB36" i="1"/>
  <c r="AA36" i="1"/>
  <c r="AC36" i="1" s="1"/>
  <c r="AB35" i="1"/>
  <c r="AA35" i="1"/>
  <c r="AC35" i="1" s="1"/>
  <c r="AB34" i="1"/>
  <c r="AA34" i="1"/>
  <c r="AC34" i="1" s="1"/>
  <c r="AB33" i="1"/>
  <c r="AA33" i="1"/>
  <c r="AC33" i="1" s="1"/>
  <c r="AB32" i="1"/>
  <c r="AA32" i="1"/>
  <c r="AC32" i="1" s="1"/>
  <c r="AB31" i="1"/>
  <c r="AA31" i="1"/>
  <c r="AB30" i="1"/>
  <c r="AA30" i="1"/>
  <c r="AB29" i="1"/>
  <c r="AA29" i="1"/>
  <c r="AC29" i="1" s="1"/>
  <c r="AB28" i="1"/>
  <c r="AA28" i="1"/>
  <c r="AC28" i="1" s="1"/>
  <c r="AB27" i="1"/>
  <c r="AA27" i="1"/>
  <c r="AC27" i="1" s="1"/>
  <c r="AB26" i="1"/>
  <c r="AA26" i="1"/>
  <c r="AB25" i="1"/>
  <c r="AA25" i="1"/>
  <c r="AC25" i="1" s="1"/>
  <c r="AB24" i="1"/>
  <c r="AA24" i="1"/>
  <c r="AC24" i="1" s="1"/>
  <c r="AB23" i="1"/>
  <c r="AA23" i="1"/>
  <c r="AC23" i="1" s="1"/>
  <c r="AB22" i="1"/>
  <c r="AA22" i="1"/>
  <c r="AC22" i="1" s="1"/>
  <c r="AB21" i="1"/>
  <c r="AC21" i="1" s="1"/>
  <c r="AA21" i="1"/>
  <c r="AB20" i="1"/>
  <c r="AA20" i="1"/>
  <c r="AC20" i="1" s="1"/>
  <c r="AB19" i="1"/>
  <c r="AA19" i="1"/>
  <c r="AC19" i="1" s="1"/>
  <c r="AB18" i="1"/>
  <c r="AA18" i="1"/>
  <c r="AC18" i="1" s="1"/>
  <c r="AB17" i="1"/>
  <c r="AA17" i="1"/>
  <c r="AC17" i="1" s="1"/>
  <c r="AB16" i="1"/>
  <c r="AA16" i="1"/>
  <c r="AC16" i="1" s="1"/>
  <c r="AB15" i="1"/>
  <c r="AA15" i="1"/>
  <c r="AC15" i="1" s="1"/>
  <c r="AB14" i="1"/>
  <c r="AA14" i="1"/>
  <c r="AC14" i="1" s="1"/>
  <c r="AB13" i="1"/>
  <c r="AA13" i="1"/>
  <c r="AC13" i="1" s="1"/>
  <c r="AB12" i="1"/>
  <c r="AA12" i="1"/>
  <c r="AC12" i="1" s="1"/>
  <c r="AB11" i="1"/>
  <c r="AA11" i="1"/>
  <c r="AC11" i="1" s="1"/>
  <c r="AB10" i="1"/>
  <c r="AA10" i="1"/>
  <c r="AC10" i="1" s="1"/>
  <c r="AB9" i="1"/>
  <c r="AA9" i="1"/>
  <c r="AC9" i="1" s="1"/>
  <c r="AB8" i="1"/>
  <c r="AA8" i="1"/>
  <c r="AC8" i="1" s="1"/>
  <c r="AB7" i="1"/>
  <c r="AA7" i="1"/>
  <c r="AB6" i="1"/>
  <c r="AA6" i="1"/>
  <c r="AC6" i="1" s="1"/>
  <c r="AC5" i="1"/>
  <c r="AB5" i="1"/>
  <c r="AA5" i="1"/>
  <c r="AB4" i="1"/>
  <c r="AA4" i="1"/>
  <c r="AC4" i="1" s="1"/>
  <c r="AB3" i="1"/>
  <c r="AA3" i="1"/>
  <c r="AC3" i="1" s="1"/>
  <c r="AB2" i="1"/>
  <c r="AA2" i="1"/>
  <c r="AC2" i="1" s="1"/>
  <c r="AC39" i="1" l="1"/>
  <c r="AC7" i="1"/>
  <c r="AC30" i="1"/>
  <c r="AC26" i="1"/>
  <c r="AC31" i="1"/>
  <c r="AC47" i="1"/>
  <c r="AC63" i="1"/>
</calcChain>
</file>

<file path=xl/sharedStrings.xml><?xml version="1.0" encoding="utf-8"?>
<sst xmlns="http://schemas.openxmlformats.org/spreadsheetml/2006/main" count="701" uniqueCount="190">
  <si>
    <t>run_date</t>
  </si>
  <si>
    <t>run_time</t>
  </si>
  <si>
    <t>run_subdir</t>
  </si>
  <si>
    <t>folder_joint_id</t>
  </si>
  <si>
    <t>folder_seq_l</t>
  </si>
  <si>
    <t>folder_i_att</t>
  </si>
  <si>
    <t>folder_t_att</t>
  </si>
  <si>
    <t>folder_h_size</t>
  </si>
  <si>
    <t>folder_ovlap</t>
  </si>
  <si>
    <t>folder_schd</t>
  </si>
  <si>
    <t>folder_lr</t>
  </si>
  <si>
    <t>run_dir</t>
  </si>
  <si>
    <t>joint_id</t>
  </si>
  <si>
    <t>input_att</t>
  </si>
  <si>
    <t>temporal_att</t>
  </si>
  <si>
    <t>hidden_size</t>
  </si>
  <si>
    <t>seq_len</t>
  </si>
  <si>
    <t>overlap</t>
  </si>
  <si>
    <t>global_step</t>
  </si>
  <si>
    <t>epoch</t>
  </si>
  <si>
    <t>custom_score</t>
  </si>
  <si>
    <t>MSE</t>
  </si>
  <si>
    <t>std</t>
  </si>
  <si>
    <t>eval_loss</t>
  </si>
  <si>
    <t>residuals</t>
  </si>
  <si>
    <t>loss</t>
  </si>
  <si>
    <t>20-19-14</t>
  </si>
  <si>
    <t>2...seq_l=128...i_att=False...t_att=True...h_size=32...ovlap=0.0...schd=cosine...lr=0.01</t>
  </si>
  <si>
    <t>False</t>
  </si>
  <si>
    <t>True</t>
  </si>
  <si>
    <t>cosine</t>
  </si>
  <si>
    <t>output</t>
  </si>
  <si>
    <t>2...seq_l=128...i_att=False...t_att=True...h_size=48...ovlap=0.0...schd=cosine...lr=0.01</t>
  </si>
  <si>
    <t>-0.0005580342</t>
  </si>
  <si>
    <t>2...seq_l=128...i_att=False...t_att=True...h_size=64...ovlap=0.0...schd=cosine...lr=0.01</t>
  </si>
  <si>
    <t>-0.0011127606</t>
  </si>
  <si>
    <t>2...seq_l=128...i_att=True...t_att=True...h_size=64...ovlap=0.0...schd=cosine...lr=0.01</t>
  </si>
  <si>
    <t>-0.00058214075</t>
  </si>
  <si>
    <t>2...seq_l=128...i_att=True...t_att=True...h_size=48...ovlap=0.0...schd=cosine...lr=0.01</t>
  </si>
  <si>
    <t>-0.0013021923</t>
  </si>
  <si>
    <t>2...seq_l=128...i_att=False...t_att=False...h_size=64...ovlap=0.0...schd=cosine...lr=0.01</t>
  </si>
  <si>
    <t>-0.00051740673</t>
  </si>
  <si>
    <t>1...seq_l=128...i_att=False...t_att=True...h_size=64...ovlap=0.0...schd=cosine...lr=0.01</t>
  </si>
  <si>
    <t>-0.00097408245</t>
  </si>
  <si>
    <t>1...seq_l=128...i_att=False...t_att=False...h_size=64...ovlap=0.0...schd=cosine...lr=0.01</t>
  </si>
  <si>
    <t>-0.00029336548</t>
  </si>
  <si>
    <t>1...seq_l=128...i_att=False...t_att=False...h_size=48...ovlap=0.0...schd=cosine...lr=0.01</t>
  </si>
  <si>
    <t>-0.00041872868</t>
  </si>
  <si>
    <t>2...seq_l=128...i_att=False...t_att=False...h_size=48...ovlap=0.0...schd=cosine...lr=0.01</t>
  </si>
  <si>
    <t>-0.00039533857</t>
  </si>
  <si>
    <t>1...seq_l=128...i_att=False...t_att=True...h_size=48...ovlap=0.0...schd=cosine...lr=0.01</t>
  </si>
  <si>
    <t>1...seq_l=128...i_att=False...t_att=True...h_size=32...ovlap=0.0...schd=cosine...lr=0.01</t>
  </si>
  <si>
    <t>-0.0004019847</t>
  </si>
  <si>
    <t>2...seq_l=128...i_att=False...t_att=False...h_size=32...ovlap=0.0...schd=cosine...lr=0.01</t>
  </si>
  <si>
    <t>-0.004077765</t>
  </si>
  <si>
    <t>1...seq_l=128...i_att=True...t_att=False...h_size=48...ovlap=0.0...schd=cosine...lr=0.01</t>
  </si>
  <si>
    <t>-0.0022218043</t>
  </si>
  <si>
    <t>1...seq_l=128...i_att=True...t_att=True...h_size=64...ovlap=0.0...schd=cosine...lr=0.01</t>
  </si>
  <si>
    <t>-0.00011692255</t>
  </si>
  <si>
    <t>1...seq_l=128...i_att=True...t_att=True...h_size=32...ovlap=0.0...schd=cosine...lr=0.01</t>
  </si>
  <si>
    <t>0.0004525036</t>
  </si>
  <si>
    <t>20-19-51</t>
  </si>
  <si>
    <t>3...seq_l=128...i_att=False...t_att=True...h_size=48...ovlap=0.0...schd=cosine...lr=0.01</t>
  </si>
  <si>
    <t>3...seq_l=128...i_att=True...t_att=True...h_size=64...ovlap=0.0...schd=cosine...lr=0.01</t>
  </si>
  <si>
    <t>-0.0035911102</t>
  </si>
  <si>
    <t>3...seq_l=128...i_att=False...t_att=True...h_size=64...ovlap=0.0...schd=cosine...lr=0.01</t>
  </si>
  <si>
    <t>3...seq_l=128...i_att=True...t_att=True...h_size=48...ovlap=0.0...schd=cosine...lr=0.01</t>
  </si>
  <si>
    <t>0.00025086044</t>
  </si>
  <si>
    <t>3...seq_l=128...i_att=False...t_att=False...h_size=64...ovlap=0.0...schd=cosine...lr=0.01</t>
  </si>
  <si>
    <t>0.00010159684</t>
  </si>
  <si>
    <t>3...seq_l=128...i_att=False...t_att=True...h_size=32...ovlap=0.0...schd=cosine...lr=0.01</t>
  </si>
  <si>
    <t>-0.00031860167</t>
  </si>
  <si>
    <t>2...seq_l=128...i_att=True...t_att=False...h_size=64...ovlap=0.0...schd=cosine...lr=0.01</t>
  </si>
  <si>
    <t>-0.0007362316</t>
  </si>
  <si>
    <t>2...seq_l=128...i_att=True...t_att=True...h_size=32...ovlap=0.0...schd=cosine...lr=0.01</t>
  </si>
  <si>
    <t>-0.0012118567</t>
  </si>
  <si>
    <t>1...seq_l=128...i_att=True...t_att=False...h_size=64...ovlap=0.0...schd=cosine...lr=0.01</t>
  </si>
  <si>
    <t>-0.0017760807</t>
  </si>
  <si>
    <t>4...seq_l=128...i_att=False...t_att=False...h_size=64...ovlap=0.0...schd=cosine...lr=0.01</t>
  </si>
  <si>
    <t>-0.00035119505</t>
  </si>
  <si>
    <t>3...seq_l=128...i_att=False...t_att=False...h_size=32...ovlap=0.0...schd=cosine...lr=0.01</t>
  </si>
  <si>
    <t>-0.0010501957</t>
  </si>
  <si>
    <t>2...seq_l=128...i_att=True...t_att=False...h_size=48...ovlap=0.0...schd=cosine...lr=0.01</t>
  </si>
  <si>
    <t>-0.00045654387</t>
  </si>
  <si>
    <t>3...seq_l=128...i_att=False...t_att=False...h_size=48...ovlap=0.0...schd=cosine...lr=0.01</t>
  </si>
  <si>
    <t>-0.00019771644</t>
  </si>
  <si>
    <t>4...seq_l=128...i_att=False...t_att=True...h_size=64...ovlap=0.0...schd=cosine...lr=0.01</t>
  </si>
  <si>
    <t>-0.00036848962</t>
  </si>
  <si>
    <t>4...seq_l=128...i_att=True...t_att=True...h_size=48...ovlap=0.0...schd=cosine...lr=0.01</t>
  </si>
  <si>
    <t>0.0013963962</t>
  </si>
  <si>
    <t>4...seq_l=128...i_att=False...t_att=True...h_size=48...ovlap=0.0...schd=cosine...lr=0.01</t>
  </si>
  <si>
    <t>-0.0002891181</t>
  </si>
  <si>
    <t>2...seq_l=128...i_att=True...t_att=False...h_size=32...ovlap=0.0...schd=cosine...lr=0.01</t>
  </si>
  <si>
    <t>-0.00014082158</t>
  </si>
  <si>
    <t>4...seq_l=128...i_att=True...t_att=True...h_size=32...ovlap=0.0...schd=cosine...lr=0.01</t>
  </si>
  <si>
    <t>-0.00089377014</t>
  </si>
  <si>
    <t>4...seq_l=128...i_att=False...t_att=True...h_size=32...ovlap=0.0...schd=cosine...lr=0.01</t>
  </si>
  <si>
    <t>-0.0002461769</t>
  </si>
  <si>
    <t>20-20-20</t>
  </si>
  <si>
    <t>6...seq_l=128...i_att=False...t_att=True...h_size=64...ovlap=0.0...schd=cosine...lr=0.01</t>
  </si>
  <si>
    <t>-0.00063534925</t>
  </si>
  <si>
    <t>4...seq_l=128...i_att=False...t_att=False...h_size=32...ovlap=0.0...schd=cosine...lr=0.01</t>
  </si>
  <si>
    <t>-0.00025889266</t>
  </si>
  <si>
    <t>5...seq_l=128...i_att=False...t_att=True...h_size=64...ovlap=0.0...schd=cosine...lr=0.01</t>
  </si>
  <si>
    <t>-0.00046611857</t>
  </si>
  <si>
    <t>4...seq_l=128...i_att=False...t_att=False...h_size=48...ovlap=0.0...schd=cosine...lr=0.01</t>
  </si>
  <si>
    <t>-0.00063141773</t>
  </si>
  <si>
    <t>4...seq_l=128...i_att=True...t_att=True...h_size=64...ovlap=0.0...schd=cosine...lr=0.01</t>
  </si>
  <si>
    <t>1...seq_l=128...i_att=True...t_att=True...h_size=48...ovlap=0.0...schd=cosine...lr=0.01</t>
  </si>
  <si>
    <t>-0.0017124306</t>
  </si>
  <si>
    <t>4...seq_l=128...i_att=True...t_att=False...h_size=64...ovlap=0.0...schd=cosine...lr=0.01</t>
  </si>
  <si>
    <t>0.00042688558</t>
  </si>
  <si>
    <t>5...seq_l=128...i_att=False...t_att=True...h_size=48...ovlap=0.0...schd=cosine...lr=0.01</t>
  </si>
  <si>
    <t>0.00024380042</t>
  </si>
  <si>
    <t>4...seq_l=128...i_att=True...t_att=False...h_size=48...ovlap=0.0...schd=cosine...lr=0.01</t>
  </si>
  <si>
    <t>0.0006156781</t>
  </si>
  <si>
    <t>6...seq_l=128...i_att=False...t_att=True...h_size=48...ovlap=0.0...schd=cosine...lr=0.01</t>
  </si>
  <si>
    <t>-0.00055279006</t>
  </si>
  <si>
    <t>5...seq_l=128...i_att=True...t_att=True...h_size=48...ovlap=0.0...schd=cosine...lr=0.01</t>
  </si>
  <si>
    <t>0.0011076403</t>
  </si>
  <si>
    <t>6...seq_l=128...i_att=False...t_att=False...h_size=64...ovlap=0.0...schd=cosine...lr=0.01</t>
  </si>
  <si>
    <t>-0.0004798981</t>
  </si>
  <si>
    <t>6...seq_l=128...i_att=True...t_att=True...h_size=48...ovlap=0.0...schd=cosine...lr=0.01</t>
  </si>
  <si>
    <t>-0.00033333877</t>
  </si>
  <si>
    <t>5...seq_l=128...i_att=True...t_att=True...h_size=32...ovlap=0.0...schd=cosine...lr=0.01</t>
  </si>
  <si>
    <t>0.0028509516</t>
  </si>
  <si>
    <t>6...seq_l=128...i_att=True...t_att=True...h_size=64...ovlap=0.0...schd=cosine...lr=0.01</t>
  </si>
  <si>
    <t>-0.00064387877</t>
  </si>
  <si>
    <t>6...seq_l=128...i_att=False...t_att=False...h_size=48...ovlap=0.0...schd=cosine...lr=0.01</t>
  </si>
  <si>
    <t>-0.0005827039</t>
  </si>
  <si>
    <t>5...seq_l=128...i_att=False...t_att=False...h_size=64...ovlap=0.0...schd=cosine...lr=0.01</t>
  </si>
  <si>
    <t>5...seq_l=128...i_att=False...t_att=False...h_size=48...ovlap=0.0...schd=cosine...lr=0.01</t>
  </si>
  <si>
    <t>5...seq_l=128...i_att=True...t_att=False...h_size=64...ovlap=0.0...schd=cosine...lr=0.01</t>
  </si>
  <si>
    <t>-0.0040228153</t>
  </si>
  <si>
    <t>5...seq_l=128...i_att=True...t_att=True...h_size=64...ovlap=0.0...schd=cosine...lr=0.01</t>
  </si>
  <si>
    <t>0.0031338958</t>
  </si>
  <si>
    <t>6...seq_l=128...i_att=False...t_att=False...h_size=32...ovlap=0.0...schd=cosine...lr=0.01</t>
  </si>
  <si>
    <t>-0.0010659866</t>
  </si>
  <si>
    <t>6...seq_l=128...i_att=True...t_att=False...h_size=64...ovlap=0.0...schd=cosine...lr=0.01</t>
  </si>
  <si>
    <t>-0.0011491836</t>
  </si>
  <si>
    <t>4...seq_l=128...i_att=True...t_att=False...h_size=32...ovlap=0.0...schd=cosine...lr=0.01</t>
  </si>
  <si>
    <t>0.001964371</t>
  </si>
  <si>
    <t>6...seq_l=128...i_att=True...t_att=True...h_size=32...ovlap=0.0...schd=cosine...lr=0.01</t>
  </si>
  <si>
    <t>-0.0012812082</t>
  </si>
  <si>
    <t>6...seq_l=128...i_att=False...t_att=True...h_size=32...ovlap=0.0...schd=cosine...lr=0.01</t>
  </si>
  <si>
    <t>0.00045708602</t>
  </si>
  <si>
    <t>6...seq_l=128...i_att=True...t_att=False...h_size=48...ovlap=0.0...schd=cosine...lr=0.01</t>
  </si>
  <si>
    <t>-0.00017033855</t>
  </si>
  <si>
    <t>1...seq_l=128...i_att=False...t_att=False...h_size=32...ovlap=0.0...schd=cosine...lr=0.01</t>
  </si>
  <si>
    <t>-0.000691037</t>
  </si>
  <si>
    <t>6...seq_l=128...i_att=True...t_att=False...h_size=32...ovlap=0.0...schd=cosine...lr=0.01</t>
  </si>
  <si>
    <t>1...seq_l=128...i_att=True...t_att=False...h_size=32...ovlap=0.0...schd=cosine...lr=0.01</t>
  </si>
  <si>
    <t>-0.0022070585</t>
  </si>
  <si>
    <t>5...seq_l=128...i_att=False...t_att=False...h_size=32...ovlap=0.0...schd=cosine...lr=0.01</t>
  </si>
  <si>
    <t>0.0018257217</t>
  </si>
  <si>
    <t>5...seq_l=128...i_att=True...t_att=False...h_size=48...ovlap=0.0...schd=cosine...lr=0.01</t>
  </si>
  <si>
    <t>0.002926013</t>
  </si>
  <si>
    <t>3...seq_l=128...i_att=True...t_att=False...h_size=48...ovlap=0.0...schd=cosine...lr=0.01</t>
  </si>
  <si>
    <t>0.00012284049</t>
  </si>
  <si>
    <t>5...seq_l=128...i_att=False...t_att=True...h_size=32...ovlap=0.0...schd=cosine...lr=0.01</t>
  </si>
  <si>
    <t>-0.00024086035</t>
  </si>
  <si>
    <t>3...seq_l=128...i_att=True...t_att=False...h_size=64...ovlap=0.0...schd=cosine...lr=0.01</t>
  </si>
  <si>
    <t>-0.0017443866</t>
  </si>
  <si>
    <t>5...seq_l=128...i_att=True...t_att=False...h_size=32...ovlap=0.0...schd=cosine...lr=0.01</t>
  </si>
  <si>
    <t>-0.006297417</t>
  </si>
  <si>
    <t>3...seq_l=128...i_att=True...t_att=True...h_size=32...ovlap=0.0...schd=cosine...lr=0.01</t>
  </si>
  <si>
    <t>0.0004809033</t>
  </si>
  <si>
    <t>3...seq_l=128...i_att=True...t_att=False...h_size=32...ovlap=0.0...schd=cosine...lr=0.01</t>
  </si>
  <si>
    <t>-0.001726753</t>
  </si>
  <si>
    <t>i_att_</t>
  </si>
  <si>
    <t>t_att_</t>
  </si>
  <si>
    <t>Config</t>
  </si>
  <si>
    <t>Etichette di riga</t>
  </si>
  <si>
    <t>hidden_size=32+i_att_Off+t_att_Off</t>
  </si>
  <si>
    <t>hidden_size=32+i_att_Off+t_att_On</t>
  </si>
  <si>
    <t>hidden_size=32+i_att_On+t_att_Off</t>
  </si>
  <si>
    <t>hidden_size=32+i_att_On+t_att_On</t>
  </si>
  <si>
    <t>hidden_size=48+i_att_Off+t_att_Off</t>
  </si>
  <si>
    <t>hidden_size=48+i_att_Off+t_att_On</t>
  </si>
  <si>
    <t>hidden_size=48+i_att_On+t_att_Off</t>
  </si>
  <si>
    <t>hidden_size=48+i_att_On+t_att_On</t>
  </si>
  <si>
    <t>hidden_size=64+i_att_Off+t_att_Off</t>
  </si>
  <si>
    <t>hidden_size=64+i_att_Off+t_att_On</t>
  </si>
  <si>
    <t>hidden_size=64+i_att_On+t_att_Off</t>
  </si>
  <si>
    <t>hidden_size=64+i_att_On+t_att_On</t>
  </si>
  <si>
    <t>Totale complessivo</t>
  </si>
  <si>
    <t>Etichette di colonna</t>
  </si>
  <si>
    <t>Media di custom_score</t>
  </si>
  <si>
    <t>Joint_ID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</si>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</sst>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7" fontId="0" fillId="0" borderId="0" xfId="0" applyNumberFormat="1" applyAlignment="1">
      <alignment horizontal="center"/>
    </xf>
    <xf numFmtId="167" fontId="0" fillId="0" borderId="10" xfId="0" applyNumberFormat="1" applyBorder="1"/>
    <xf numFmtId="167" fontId="0" fillId="0" borderId="11" xfId="0" applyNumberFormat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1" fontId="0" fillId="0" borderId="14" xfId="0" applyNumberFormat="1" applyBorder="1"/>
    <xf numFmtId="167" fontId="0" fillId="0" borderId="15" xfId="0" applyNumberFormat="1" applyBorder="1"/>
    <xf numFmtId="167" fontId="0" fillId="0" borderId="16" xfId="0" applyNumberFormat="1" applyBorder="1"/>
    <xf numFmtId="167" fontId="0" fillId="0" borderId="0" xfId="0" applyNumberFormat="1" applyBorder="1"/>
    <xf numFmtId="167" fontId="0" fillId="0" borderId="17" xfId="0" applyNumberFormat="1" applyBorder="1"/>
    <xf numFmtId="167" fontId="0" fillId="0" borderId="18" xfId="0" applyNumberFormat="1" applyBorder="1"/>
    <xf numFmtId="167" fontId="0" fillId="0" borderId="19" xfId="0" applyNumberFormat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" refreshedDate="46168.989379398146" createdVersion="8" refreshedVersion="8" minRefreshableVersion="3" recordCount="72" xr:uid="{AB498BF8-A98F-46AB-91DB-59D45027634E}">
  <cacheSource type="worksheet">
    <worksheetSource ref="A1:AC73" sheet="all_runs_summary_all_joints_hid"/>
  </cacheSource>
  <cacheFields count="29">
    <cacheField name="run_date" numFmtId="14">
      <sharedItems containsSemiMixedTypes="0" containsNonDate="0" containsDate="1" containsString="0" minDate="2026-05-26T00:00:00" maxDate="2026-05-27T00:00:00"/>
    </cacheField>
    <cacheField name="run_time" numFmtId="0">
      <sharedItems/>
    </cacheField>
    <cacheField name="run_subdir" numFmtId="0">
      <sharedItems/>
    </cacheField>
    <cacheField name="folder_joint_id" numFmtId="0">
      <sharedItems containsSemiMixedTypes="0" containsString="0" containsNumber="1" containsInteger="1" minValue="1" maxValue="6"/>
    </cacheField>
    <cacheField name="folder_seq_l" numFmtId="0">
      <sharedItems containsSemiMixedTypes="0" containsString="0" containsNumber="1" containsInteger="1" minValue="128" maxValue="128"/>
    </cacheField>
    <cacheField name="folder_i_att" numFmtId="0">
      <sharedItems/>
    </cacheField>
    <cacheField name="folder_t_att" numFmtId="0">
      <sharedItems/>
    </cacheField>
    <cacheField name="folder_h_size" numFmtId="0">
      <sharedItems containsSemiMixedTypes="0" containsString="0" containsNumber="1" containsInteger="1" minValue="32" maxValue="64"/>
    </cacheField>
    <cacheField name="folder_ovlap" numFmtId="0">
      <sharedItems containsSemiMixedTypes="0" containsString="0" containsNumber="1" containsInteger="1" minValue="0" maxValue="0"/>
    </cacheField>
    <cacheField name="folder_schd" numFmtId="0">
      <sharedItems/>
    </cacheField>
    <cacheField name="folder_lr" numFmtId="0">
      <sharedItems containsSemiMixedTypes="0" containsString="0" containsNumber="1" minValue="0.01" maxValue="0.01"/>
    </cacheField>
    <cacheField name="run_dir" numFmtId="0">
      <sharedItems/>
    </cacheField>
    <cacheField name="joint_id" numFmtId="0">
      <sharedItems containsSemiMixedTypes="0" containsString="0" containsNumber="1" containsInteger="1" minValue="1" maxValue="6" count="6">
        <n v="2"/>
        <n v="1"/>
        <n v="3"/>
        <n v="4"/>
        <n v="6"/>
        <n v="5"/>
      </sharedItems>
    </cacheField>
    <cacheField name="input_att" numFmtId="0">
      <sharedItems/>
    </cacheField>
    <cacheField name="temporal_att" numFmtId="0">
      <sharedItems/>
    </cacheField>
    <cacheField name="hidden_size" numFmtId="0">
      <sharedItems containsSemiMixedTypes="0" containsString="0" containsNumber="1" containsInteger="1" minValue="32" maxValue="64"/>
    </cacheField>
    <cacheField name="seq_len" numFmtId="0">
      <sharedItems containsSemiMixedTypes="0" containsString="0" containsNumber="1" containsInteger="1" minValue="128" maxValue="128"/>
    </cacheField>
    <cacheField name="overlap" numFmtId="0">
      <sharedItems containsSemiMixedTypes="0" containsString="0" containsNumber="1" containsInteger="1" minValue="0" maxValue="0"/>
    </cacheField>
    <cacheField name="global_step" numFmtId="0">
      <sharedItems containsSemiMixedTypes="0" containsString="0" containsNumber="1" containsInteger="1" minValue="1148" maxValue="1504"/>
    </cacheField>
    <cacheField name="epoch" numFmtId="0">
      <sharedItems containsSemiMixedTypes="0" containsString="0" containsNumber="1" containsInteger="1" minValue="33" maxValue="43"/>
    </cacheField>
    <cacheField name="custom_score" numFmtId="0">
      <sharedItems containsSemiMixedTypes="0" containsString="0" containsNumber="1" minValue="5.7228491059503998E-3" maxValue="5.1431386731564999E-2"/>
    </cacheField>
    <cacheField name="MSE" numFmtId="0">
      <sharedItems containsSemiMixedTypes="0" containsString="0" containsNumber="1" minValue="2.6637837290763001E-3" maxValue="1.3949254527688E-2"/>
    </cacheField>
    <cacheField name="std" numFmtId="0">
      <sharedItems containsSemiMixedTypes="0" containsString="0" containsNumber="1" minValue="9.4368384452530002E-4" maxValue="1.27435028553009E-2"/>
    </cacheField>
    <cacheField name="eval_loss" numFmtId="0">
      <sharedItems containsSemiMixedTypes="0" containsString="0" containsNumber="1" minValue="2.6594597018427001E-3" maxValue="1.39574837974376E-2"/>
    </cacheField>
    <cacheField name="residuals" numFmtId="0">
      <sharedItems containsMixedTypes="1" containsNumber="1" minValue="-349.79471999999998" maxValue="889.10594000000003"/>
    </cacheField>
    <cacheField name="loss" numFmtId="0">
      <sharedItems containsSemiMixedTypes="0" containsString="0" containsNumber="1" minValue="2.6594597018427001E-3" maxValue="1.39574837974376E-2"/>
    </cacheField>
    <cacheField name="i_att_" numFmtId="0">
      <sharedItems/>
    </cacheField>
    <cacheField name="t_att_" numFmtId="0">
      <sharedItems/>
    </cacheField>
    <cacheField name="Config" numFmtId="0">
      <sharedItems count="12">
        <s v="hidden_size=32+i_att_Off+t_att_On"/>
        <s v="hidden_size=48+i_att_Off+t_att_On"/>
        <s v="hidden_size=64+i_att_Off+t_att_On"/>
        <s v="hidden_size=64+i_att_On+t_att_On"/>
        <s v="hidden_size=48+i_att_On+t_att_On"/>
        <s v="hidden_size=64+i_att_Off+t_att_Off"/>
        <s v="hidden_size=48+i_att_Off+t_att_Off"/>
        <s v="hidden_size=32+i_att_Off+t_att_Off"/>
        <s v="hidden_size=48+i_att_On+t_att_Off"/>
        <s v="hidden_size=32+i_att_On+t_att_On"/>
        <s v="hidden_size=64+i_att_On+t_att_Off"/>
        <s v="hidden_size=32+i_att_On+t_att_Off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d v="2026-05-26T00:00:00"/>
    <s v="20-19-14"/>
    <s v="2...seq_l=128...i_att=False...t_att=True...h_size=32...ovlap=0.0...schd=cosine...lr=0.01"/>
    <n v="2"/>
    <n v="128"/>
    <s v="False"/>
    <s v="True"/>
    <n v="32"/>
    <n v="0"/>
    <s v="cosine"/>
    <n v="0.01"/>
    <s v="output"/>
    <x v="0"/>
    <s v="False"/>
    <s v="True"/>
    <n v="32"/>
    <n v="128"/>
    <n v="0"/>
    <n v="1472"/>
    <n v="43"/>
    <n v="5.7228491059503998E-3"/>
    <n v="2.8917975723743001E-3"/>
    <n v="9.4368384452530002E-4"/>
    <n v="2.8900424691124002E-3"/>
    <n v="74.884439999999998"/>
    <n v="2.8900424691124002E-3"/>
    <s v="Off"/>
    <s v="On"/>
    <x v="0"/>
  </r>
  <r>
    <d v="2026-05-26T00:00:00"/>
    <s v="20-19-14"/>
    <s v="2...seq_l=128...i_att=False...t_att=True...h_size=48...ovlap=0.0...schd=cosine...lr=0.01"/>
    <n v="2"/>
    <n v="128"/>
    <s v="False"/>
    <s v="True"/>
    <n v="48"/>
    <n v="0"/>
    <s v="cosine"/>
    <n v="0.01"/>
    <s v="output"/>
    <x v="0"/>
    <s v="False"/>
    <s v="True"/>
    <n v="48"/>
    <n v="128"/>
    <n v="0"/>
    <n v="1472"/>
    <n v="43"/>
    <n v="6.1569069512188001E-3"/>
    <n v="2.6637837290763001E-3"/>
    <n v="1.1643744073808E-3"/>
    <n v="2.6594597018427001E-3"/>
    <s v="-0.0005580342"/>
    <n v="2.6594597018427001E-3"/>
    <s v="Off"/>
    <s v="On"/>
    <x v="1"/>
  </r>
  <r>
    <d v="2026-05-26T00:00:00"/>
    <s v="20-19-14"/>
    <s v="2...seq_l=128...i_att=False...t_att=True...h_size=64...ovlap=0.0...schd=cosine...lr=0.01"/>
    <n v="2"/>
    <n v="128"/>
    <s v="False"/>
    <s v="True"/>
    <n v="64"/>
    <n v="0"/>
    <s v="cosine"/>
    <n v="0.01"/>
    <s v="output"/>
    <x v="0"/>
    <s v="False"/>
    <s v="True"/>
    <n v="64"/>
    <n v="128"/>
    <n v="0"/>
    <n v="1504"/>
    <n v="43"/>
    <n v="6.8992204032837998E-3"/>
    <n v="2.8163737151770999E-3"/>
    <n v="1.3609488960355E-3"/>
    <n v="2.8118551191356001E-3"/>
    <s v="-0.0011127606"/>
    <n v="2.8118551191356001E-3"/>
    <s v="Off"/>
    <s v="On"/>
    <x v="2"/>
  </r>
  <r>
    <d v="2026-05-26T00:00:00"/>
    <s v="20-19-14"/>
    <s v="2...seq_l=128...i_att=True...t_att=True...h_size=64...ovlap=0.0...schd=cosine...lr=0.01"/>
    <n v="2"/>
    <n v="128"/>
    <s v="True"/>
    <s v="True"/>
    <n v="64"/>
    <n v="0"/>
    <s v="cosine"/>
    <n v="0.01"/>
    <s v="output"/>
    <x v="0"/>
    <s v="True"/>
    <s v="True"/>
    <n v="64"/>
    <n v="128"/>
    <n v="0"/>
    <n v="1492"/>
    <n v="43"/>
    <n v="7.5628546765074004E-3"/>
    <n v="3.3652489073574001E-3"/>
    <n v="1.3992019230499001E-3"/>
    <n v="3.3634417535115999E-3"/>
    <s v="-0.00058214075"/>
    <n v="3.3634417535115999E-3"/>
    <s v="On"/>
    <s v="On"/>
    <x v="3"/>
  </r>
  <r>
    <d v="2026-05-26T00:00:00"/>
    <s v="20-19-14"/>
    <s v="2...seq_l=128...i_att=True...t_att=True...h_size=48...ovlap=0.0...schd=cosine...lr=0.01"/>
    <n v="2"/>
    <n v="128"/>
    <s v="True"/>
    <s v="True"/>
    <n v="48"/>
    <n v="0"/>
    <s v="cosine"/>
    <n v="0.01"/>
    <s v="output"/>
    <x v="0"/>
    <s v="True"/>
    <s v="True"/>
    <n v="48"/>
    <n v="128"/>
    <n v="0"/>
    <n v="1456"/>
    <n v="42"/>
    <n v="8.8149046059696999E-3"/>
    <n v="3.3647117670625002E-3"/>
    <n v="1.8167309463024001E-3"/>
    <n v="3.3609469990349E-3"/>
    <s v="-0.0013021923"/>
    <n v="3.3609469990349E-3"/>
    <s v="On"/>
    <s v="On"/>
    <x v="4"/>
  </r>
  <r>
    <d v="2026-05-26T00:00:00"/>
    <s v="20-19-14"/>
    <s v="2...seq_l=128...i_att=False...t_att=False...h_size=64...ovlap=0.0...schd=cosine...lr=0.01"/>
    <n v="2"/>
    <n v="128"/>
    <s v="False"/>
    <s v="False"/>
    <n v="64"/>
    <n v="0"/>
    <s v="cosine"/>
    <n v="0.01"/>
    <s v="output"/>
    <x v="0"/>
    <s v="False"/>
    <s v="False"/>
    <n v="64"/>
    <n v="128"/>
    <n v="0"/>
    <n v="1496"/>
    <n v="43"/>
    <n v="9.3842714559286E-3"/>
    <n v="2.9876038897782E-3"/>
    <n v="2.1322225220500998E-3"/>
    <n v="2.9793236301177001E-3"/>
    <s v="-0.00051740673"/>
    <n v="2.9793236301177001E-3"/>
    <s v="Off"/>
    <s v="Off"/>
    <x v="5"/>
  </r>
  <r>
    <d v="2026-05-26T00:00:00"/>
    <s v="20-19-14"/>
    <s v="1...seq_l=128...i_att=False...t_att=True...h_size=64...ovlap=0.0...schd=cosine...lr=0.01"/>
    <n v="1"/>
    <n v="128"/>
    <s v="False"/>
    <s v="True"/>
    <n v="64"/>
    <n v="0"/>
    <s v="cosine"/>
    <n v="0.01"/>
    <s v="output"/>
    <x v="1"/>
    <s v="False"/>
    <s v="True"/>
    <n v="64"/>
    <n v="128"/>
    <n v="0"/>
    <n v="1452"/>
    <n v="42"/>
    <n v="9.5042251050471999E-3"/>
    <n v="5.0512705929577004E-3"/>
    <n v="1.4843181706964E-3"/>
    <n v="5.0500922629401999E-3"/>
    <s v="-0.00097408245"/>
    <n v="5.0500922629401999E-3"/>
    <s v="Off"/>
    <s v="On"/>
    <x v="2"/>
  </r>
  <r>
    <d v="2026-05-26T00:00:00"/>
    <s v="20-19-14"/>
    <s v="1...seq_l=128...i_att=False...t_att=False...h_size=64...ovlap=0.0...schd=cosine...lr=0.01"/>
    <n v="1"/>
    <n v="128"/>
    <s v="False"/>
    <s v="False"/>
    <n v="64"/>
    <n v="0"/>
    <s v="cosine"/>
    <n v="0.01"/>
    <s v="output"/>
    <x v="1"/>
    <s v="False"/>
    <s v="False"/>
    <n v="64"/>
    <n v="128"/>
    <n v="0"/>
    <n v="1308"/>
    <n v="38"/>
    <n v="9.6281626028939995E-3"/>
    <n v="5.1621780730783003E-3"/>
    <n v="1.4886615099384999E-3"/>
    <n v="5.1596240761378996E-3"/>
    <s v="-0.00029336548"/>
    <n v="5.1596240761378996E-3"/>
    <s v="Off"/>
    <s v="Off"/>
    <x v="5"/>
  </r>
  <r>
    <d v="2026-05-26T00:00:00"/>
    <s v="20-19-14"/>
    <s v="1...seq_l=128...i_att=False...t_att=False...h_size=48...ovlap=0.0...schd=cosine...lr=0.01"/>
    <n v="1"/>
    <n v="128"/>
    <s v="False"/>
    <s v="False"/>
    <n v="48"/>
    <n v="0"/>
    <s v="cosine"/>
    <n v="0.01"/>
    <s v="output"/>
    <x v="1"/>
    <s v="False"/>
    <s v="False"/>
    <n v="48"/>
    <n v="128"/>
    <n v="0"/>
    <n v="1472"/>
    <n v="43"/>
    <n v="9.9852203857152995E-3"/>
    <n v="5.4311039857566001E-3"/>
    <n v="1.5180387999862001E-3"/>
    <n v="5.4287162816357998E-3"/>
    <s v="-0.00041872868"/>
    <n v="5.4287162816357998E-3"/>
    <s v="Off"/>
    <s v="Off"/>
    <x v="6"/>
  </r>
  <r>
    <d v="2026-05-26T00:00:00"/>
    <s v="20-19-14"/>
    <s v="2...seq_l=128...i_att=False...t_att=False...h_size=48...ovlap=0.0...schd=cosine...lr=0.01"/>
    <n v="2"/>
    <n v="128"/>
    <s v="False"/>
    <s v="False"/>
    <n v="48"/>
    <n v="0"/>
    <s v="cosine"/>
    <n v="0.01"/>
    <s v="output"/>
    <x v="0"/>
    <s v="False"/>
    <s v="False"/>
    <n v="48"/>
    <n v="128"/>
    <n v="0"/>
    <n v="1468"/>
    <n v="42"/>
    <n v="1.0222828248515701E-2"/>
    <n v="3.6212420091032002E-3"/>
    <n v="2.2005287464707999E-3"/>
    <n v="3.6157853125284001E-3"/>
    <s v="-0.00039533857"/>
    <n v="3.6157853125284001E-3"/>
    <s v="Off"/>
    <s v="Off"/>
    <x v="6"/>
  </r>
  <r>
    <d v="2026-05-26T00:00:00"/>
    <s v="20-19-14"/>
    <s v="1...seq_l=128...i_att=False...t_att=True...h_size=48...ovlap=0.0...schd=cosine...lr=0.01"/>
    <n v="1"/>
    <n v="128"/>
    <s v="False"/>
    <s v="True"/>
    <n v="48"/>
    <n v="0"/>
    <s v="cosine"/>
    <n v="0.01"/>
    <s v="output"/>
    <x v="1"/>
    <s v="False"/>
    <s v="True"/>
    <n v="48"/>
    <n v="128"/>
    <n v="0"/>
    <n v="1472"/>
    <n v="43"/>
    <n v="1.08266925672069E-2"/>
    <n v="5.2626417018473001E-3"/>
    <n v="1.8546836217865001E-3"/>
    <n v="5.2622386978732E-3"/>
    <n v="70.585859999999997"/>
    <n v="5.2622386978732E-3"/>
    <s v="Off"/>
    <s v="On"/>
    <x v="1"/>
  </r>
  <r>
    <d v="2026-05-26T00:00:00"/>
    <s v="20-19-14"/>
    <s v="1...seq_l=128...i_att=False...t_att=True...h_size=32...ovlap=0.0...schd=cosine...lr=0.01"/>
    <n v="1"/>
    <n v="128"/>
    <s v="False"/>
    <s v="True"/>
    <n v="32"/>
    <n v="0"/>
    <s v="cosine"/>
    <n v="0.01"/>
    <s v="output"/>
    <x v="1"/>
    <s v="False"/>
    <s v="True"/>
    <n v="32"/>
    <n v="128"/>
    <n v="0"/>
    <n v="1424"/>
    <n v="41"/>
    <n v="1.10540682217106E-2"/>
    <n v="5.2371402271091001E-3"/>
    <n v="1.9389759982004001E-3"/>
    <n v="5.2349470141861004E-3"/>
    <s v="-0.0004019847"/>
    <n v="5.2349470141861004E-3"/>
    <s v="Off"/>
    <s v="On"/>
    <x v="0"/>
  </r>
  <r>
    <d v="2026-05-26T00:00:00"/>
    <s v="20-19-14"/>
    <s v="2...seq_l=128...i_att=False...t_att=False...h_size=32...ovlap=0.0...schd=cosine...lr=0.01"/>
    <n v="2"/>
    <n v="128"/>
    <s v="False"/>
    <s v="False"/>
    <n v="32"/>
    <n v="0"/>
    <s v="cosine"/>
    <n v="0.01"/>
    <s v="output"/>
    <x v="0"/>
    <s v="False"/>
    <s v="False"/>
    <n v="32"/>
    <n v="128"/>
    <n v="0"/>
    <n v="1148"/>
    <n v="33"/>
    <n v="1.15147072356194E-2"/>
    <n v="3.9629889652131999E-3"/>
    <n v="2.5172394234686999E-3"/>
    <n v="3.9578090525334998E-3"/>
    <s v="-0.004077765"/>
    <n v="3.9578090525334998E-3"/>
    <s v="Off"/>
    <s v="Off"/>
    <x v="7"/>
  </r>
  <r>
    <d v="2026-05-26T00:00:00"/>
    <s v="20-19-14"/>
    <s v="1...seq_l=128...i_att=True...t_att=False...h_size=48...ovlap=0.0...schd=cosine...lr=0.01"/>
    <n v="1"/>
    <n v="128"/>
    <s v="True"/>
    <s v="False"/>
    <n v="48"/>
    <n v="0"/>
    <s v="cosine"/>
    <n v="0.01"/>
    <s v="output"/>
    <x v="1"/>
    <s v="True"/>
    <s v="False"/>
    <n v="48"/>
    <n v="128"/>
    <n v="0"/>
    <n v="1420"/>
    <n v="41"/>
    <n v="1.18107500020414E-2"/>
    <n v="5.8745415881276001E-3"/>
    <n v="1.9787361379712E-3"/>
    <n v="5.8717198359469003E-3"/>
    <s v="-0.0022218043"/>
    <n v="5.8717198359469003E-3"/>
    <s v="On"/>
    <s v="Off"/>
    <x v="8"/>
  </r>
  <r>
    <d v="2026-05-26T00:00:00"/>
    <s v="20-19-14"/>
    <s v="1...seq_l=128...i_att=True...t_att=True...h_size=64...ovlap=0.0...schd=cosine...lr=0.01"/>
    <n v="1"/>
    <n v="128"/>
    <s v="True"/>
    <s v="True"/>
    <n v="64"/>
    <n v="0"/>
    <s v="cosine"/>
    <n v="0.01"/>
    <s v="output"/>
    <x v="1"/>
    <s v="True"/>
    <s v="True"/>
    <n v="64"/>
    <n v="128"/>
    <n v="0"/>
    <n v="1436"/>
    <n v="42"/>
    <n v="1.2024930445477301E-2"/>
    <n v="5.8358414098619998E-3"/>
    <n v="2.0630296785384E-3"/>
    <n v="5.8334419089885996E-3"/>
    <s v="-0.00011692255"/>
    <n v="5.8334419089885996E-3"/>
    <s v="On"/>
    <s v="On"/>
    <x v="3"/>
  </r>
  <r>
    <d v="2026-05-26T00:00:00"/>
    <s v="20-19-14"/>
    <s v="1...seq_l=128...i_att=True...t_att=True...h_size=32...ovlap=0.0...schd=cosine...lr=0.01"/>
    <n v="1"/>
    <n v="128"/>
    <s v="True"/>
    <s v="True"/>
    <n v="32"/>
    <n v="0"/>
    <s v="cosine"/>
    <n v="0.01"/>
    <s v="output"/>
    <x v="1"/>
    <s v="True"/>
    <s v="True"/>
    <n v="32"/>
    <n v="128"/>
    <n v="0"/>
    <n v="1476"/>
    <n v="43"/>
    <n v="1.31620471365749E-2"/>
    <n v="6.0883956030011004E-3"/>
    <n v="2.3578838445245998E-3"/>
    <n v="6.0904109850524997E-3"/>
    <s v="0.0004525036"/>
    <n v="6.0904109850524997E-3"/>
    <s v="On"/>
    <s v="On"/>
    <x v="9"/>
  </r>
  <r>
    <d v="2026-05-26T00:00:00"/>
    <s v="20-19-51"/>
    <s v="3...seq_l=128...i_att=False...t_att=True...h_size=48...ovlap=0.0...schd=cosine...lr=0.01"/>
    <n v="3"/>
    <n v="128"/>
    <s v="False"/>
    <s v="True"/>
    <n v="48"/>
    <n v="0"/>
    <s v="cosine"/>
    <n v="0.01"/>
    <s v="output"/>
    <x v="2"/>
    <s v="False"/>
    <s v="True"/>
    <n v="48"/>
    <n v="128"/>
    <n v="0"/>
    <n v="1452"/>
    <n v="42"/>
    <n v="1.3506837422028101E-2"/>
    <n v="5.7635018602012998E-3"/>
    <n v="2.5811118539422E-3"/>
    <n v="5.7558804336521E-3"/>
    <n v="-349.79471999999998"/>
    <n v="5.7558804336521E-3"/>
    <s v="Off"/>
    <s v="On"/>
    <x v="1"/>
  </r>
  <r>
    <d v="2026-05-26T00:00:00"/>
    <s v="20-19-51"/>
    <s v="3...seq_l=128...i_att=True...t_att=True...h_size=64...ovlap=0.0...schd=cosine...lr=0.01"/>
    <n v="3"/>
    <n v="128"/>
    <s v="True"/>
    <s v="True"/>
    <n v="64"/>
    <n v="0"/>
    <s v="cosine"/>
    <n v="0.01"/>
    <s v="output"/>
    <x v="2"/>
    <s v="True"/>
    <s v="True"/>
    <n v="64"/>
    <n v="128"/>
    <n v="0"/>
    <n v="1320"/>
    <n v="38"/>
    <n v="1.40773016028106E-2"/>
    <n v="6.4707607962191001E-3"/>
    <n v="2.5355136021971E-3"/>
    <n v="6.4628530914584001E-3"/>
    <s v="-0.0035911102"/>
    <n v="6.4628530914584001E-3"/>
    <s v="On"/>
    <s v="On"/>
    <x v="3"/>
  </r>
  <r>
    <d v="2026-05-26T00:00:00"/>
    <s v="20-19-51"/>
    <s v="3...seq_l=128...i_att=False...t_att=True...h_size=64...ovlap=0.0...schd=cosine...lr=0.01"/>
    <n v="3"/>
    <n v="128"/>
    <s v="False"/>
    <s v="True"/>
    <n v="64"/>
    <n v="0"/>
    <s v="cosine"/>
    <n v="0.01"/>
    <s v="output"/>
    <x v="2"/>
    <s v="False"/>
    <s v="True"/>
    <n v="64"/>
    <n v="128"/>
    <n v="0"/>
    <n v="1444"/>
    <n v="42"/>
    <n v="1.4754792908206501E-2"/>
    <n v="6.0811471194027996E-3"/>
    <n v="2.8912152629345001E-3"/>
    <n v="6.0734859046835997E-3"/>
    <n v="399.05421999999999"/>
    <n v="6.0734859046835997E-3"/>
    <s v="Off"/>
    <s v="On"/>
    <x v="2"/>
  </r>
  <r>
    <d v="2026-05-26T00:00:00"/>
    <s v="20-19-51"/>
    <s v="3...seq_l=128...i_att=True...t_att=True...h_size=48...ovlap=0.0...schd=cosine...lr=0.01"/>
    <n v="3"/>
    <n v="128"/>
    <s v="True"/>
    <s v="True"/>
    <n v="48"/>
    <n v="0"/>
    <s v="cosine"/>
    <n v="0.01"/>
    <s v="output"/>
    <x v="2"/>
    <s v="True"/>
    <s v="True"/>
    <n v="48"/>
    <n v="128"/>
    <n v="0"/>
    <n v="1500"/>
    <n v="43"/>
    <n v="1.48093879688531E-2"/>
    <n v="6.5641384571790001E-3"/>
    <n v="2.7484165038912998E-3"/>
    <n v="6.5578392499849999E-3"/>
    <s v="0.00025086044"/>
    <n v="6.5578392499849999E-3"/>
    <s v="On"/>
    <s v="On"/>
    <x v="4"/>
  </r>
  <r>
    <d v="2026-05-26T00:00:00"/>
    <s v="20-19-51"/>
    <s v="3...seq_l=128...i_att=False...t_att=False...h_size=64...ovlap=0.0...schd=cosine...lr=0.01"/>
    <n v="3"/>
    <n v="128"/>
    <s v="False"/>
    <s v="False"/>
    <n v="64"/>
    <n v="0"/>
    <s v="cosine"/>
    <n v="0.01"/>
    <s v="output"/>
    <x v="2"/>
    <s v="False"/>
    <s v="False"/>
    <n v="64"/>
    <n v="128"/>
    <n v="0"/>
    <n v="1480"/>
    <n v="43"/>
    <n v="1.5832103788852601E-2"/>
    <n v="5.8263759128748998E-3"/>
    <n v="3.3352426253259E-3"/>
    <n v="5.8189116728801999E-3"/>
    <s v="0.00010159684"/>
    <n v="5.8189116728801999E-3"/>
    <s v="Off"/>
    <s v="Off"/>
    <x v="5"/>
  </r>
  <r>
    <d v="2026-05-26T00:00:00"/>
    <s v="20-19-51"/>
    <s v="3...seq_l=128...i_att=False...t_att=True...h_size=32...ovlap=0.0...schd=cosine...lr=0.01"/>
    <n v="3"/>
    <n v="128"/>
    <s v="False"/>
    <s v="True"/>
    <n v="32"/>
    <n v="0"/>
    <s v="cosine"/>
    <n v="0.01"/>
    <s v="output"/>
    <x v="2"/>
    <s v="False"/>
    <s v="True"/>
    <n v="32"/>
    <n v="128"/>
    <n v="0"/>
    <n v="1472"/>
    <n v="43"/>
    <n v="1.6797091113403401E-2"/>
    <n v="6.6012595780192999E-3"/>
    <n v="3.3986105117946E-3"/>
    <n v="6.5950413441491999E-3"/>
    <s v="-0.00031860167"/>
    <n v="6.5950413441491999E-3"/>
    <s v="Off"/>
    <s v="On"/>
    <x v="0"/>
  </r>
  <r>
    <d v="2026-05-26T00:00:00"/>
    <s v="20-19-14"/>
    <s v="2...seq_l=128...i_att=True...t_att=False...h_size=64...ovlap=0.0...schd=cosine...lr=0.01"/>
    <n v="2"/>
    <n v="128"/>
    <s v="True"/>
    <s v="False"/>
    <n v="64"/>
    <n v="0"/>
    <s v="cosine"/>
    <n v="0.01"/>
    <s v="output"/>
    <x v="0"/>
    <s v="True"/>
    <s v="False"/>
    <n v="64"/>
    <n v="128"/>
    <n v="0"/>
    <n v="1488"/>
    <n v="43"/>
    <n v="1.7070799833163602E-2"/>
    <n v="5.7855946943162996E-3"/>
    <n v="3.7617350462824002E-3"/>
    <n v="5.7847352905404997E-3"/>
    <s v="-0.0007362316"/>
    <n v="5.7847352905404997E-3"/>
    <s v="On"/>
    <s v="Off"/>
    <x v="10"/>
  </r>
  <r>
    <d v="2026-05-26T00:00:00"/>
    <s v="20-19-14"/>
    <s v="2...seq_l=128...i_att=True...t_att=True...h_size=32...ovlap=0.0...schd=cosine...lr=0.01"/>
    <n v="2"/>
    <n v="128"/>
    <s v="True"/>
    <s v="True"/>
    <n v="32"/>
    <n v="0"/>
    <s v="cosine"/>
    <n v="0.01"/>
    <s v="output"/>
    <x v="0"/>
    <s v="True"/>
    <s v="True"/>
    <n v="32"/>
    <n v="128"/>
    <n v="0"/>
    <n v="1464"/>
    <n v="42"/>
    <n v="1.7820963636040601E-2"/>
    <n v="5.9988354332744997E-3"/>
    <n v="3.9407094009220002E-3"/>
    <n v="6.0098394751548004E-3"/>
    <s v="-0.0012118567"/>
    <n v="6.0098394751548004E-3"/>
    <s v="On"/>
    <s v="On"/>
    <x v="9"/>
  </r>
  <r>
    <d v="2026-05-26T00:00:00"/>
    <s v="20-19-14"/>
    <s v="1...seq_l=128...i_att=True...t_att=False...h_size=64...ovlap=0.0...schd=cosine...lr=0.01"/>
    <n v="1"/>
    <n v="128"/>
    <s v="True"/>
    <s v="False"/>
    <n v="64"/>
    <n v="0"/>
    <s v="cosine"/>
    <n v="0.01"/>
    <s v="output"/>
    <x v="1"/>
    <s v="True"/>
    <s v="False"/>
    <n v="64"/>
    <n v="128"/>
    <n v="0"/>
    <n v="1492"/>
    <n v="43"/>
    <n v="1.8049179110676002E-2"/>
    <n v="6.4116874709724998E-3"/>
    <n v="3.8791638799011E-3"/>
    <n v="6.4095181619954998E-3"/>
    <s v="-0.0017760807"/>
    <n v="6.4095181619954998E-3"/>
    <s v="On"/>
    <s v="Off"/>
    <x v="10"/>
  </r>
  <r>
    <d v="2026-05-26T00:00:00"/>
    <s v="20-19-51"/>
    <s v="4...seq_l=128...i_att=False...t_att=False...h_size=64...ovlap=0.0...schd=cosine...lr=0.01"/>
    <n v="4"/>
    <n v="128"/>
    <s v="False"/>
    <s v="False"/>
    <n v="64"/>
    <n v="0"/>
    <s v="cosine"/>
    <n v="0.01"/>
    <s v="output"/>
    <x v="3"/>
    <s v="False"/>
    <s v="False"/>
    <n v="64"/>
    <n v="128"/>
    <n v="0"/>
    <n v="1456"/>
    <n v="42"/>
    <n v="1.8123188987374299E-2"/>
    <n v="7.0332172326743004E-3"/>
    <n v="3.6966572515665999E-3"/>
    <n v="7.0523047405812002E-3"/>
    <s v="-0.00035119505"/>
    <n v="7.0523047405812002E-3"/>
    <s v="Off"/>
    <s v="Off"/>
    <x v="5"/>
  </r>
  <r>
    <d v="2026-05-26T00:00:00"/>
    <s v="20-19-51"/>
    <s v="3...seq_l=128...i_att=False...t_att=False...h_size=32...ovlap=0.0...schd=cosine...lr=0.01"/>
    <n v="3"/>
    <n v="128"/>
    <s v="False"/>
    <s v="False"/>
    <n v="32"/>
    <n v="0"/>
    <s v="cosine"/>
    <n v="0.01"/>
    <s v="output"/>
    <x v="2"/>
    <s v="False"/>
    <s v="False"/>
    <n v="32"/>
    <n v="128"/>
    <n v="0"/>
    <n v="1444"/>
    <n v="42"/>
    <n v="1.8544524442404502E-2"/>
    <n v="7.0030656643211E-3"/>
    <n v="3.8471529260276998E-3"/>
    <n v="6.9968081079423003E-3"/>
    <s v="-0.0010501957"/>
    <n v="6.9968081079423003E-3"/>
    <s v="Off"/>
    <s v="Off"/>
    <x v="7"/>
  </r>
  <r>
    <d v="2026-05-26T00:00:00"/>
    <s v="20-19-14"/>
    <s v="2...seq_l=128...i_att=True...t_att=False...h_size=48...ovlap=0.0...schd=cosine...lr=0.01"/>
    <n v="2"/>
    <n v="128"/>
    <s v="True"/>
    <s v="False"/>
    <n v="48"/>
    <n v="0"/>
    <s v="cosine"/>
    <n v="0.01"/>
    <s v="output"/>
    <x v="0"/>
    <s v="True"/>
    <s v="False"/>
    <n v="48"/>
    <n v="128"/>
    <n v="0"/>
    <n v="1456"/>
    <n v="42"/>
    <n v="1.8571183085441499E-2"/>
    <n v="6.2081944197416002E-3"/>
    <n v="4.1209962218999004E-3"/>
    <n v="6.2159718428221001E-3"/>
    <s v="-0.00045654387"/>
    <n v="6.2159718428221001E-3"/>
    <s v="On"/>
    <s v="Off"/>
    <x v="8"/>
  </r>
  <r>
    <d v="2026-05-26T00:00:00"/>
    <s v="20-19-51"/>
    <s v="3...seq_l=128...i_att=False...t_att=False...h_size=48...ovlap=0.0...schd=cosine...lr=0.01"/>
    <n v="3"/>
    <n v="128"/>
    <s v="False"/>
    <s v="False"/>
    <n v="48"/>
    <n v="0"/>
    <s v="cosine"/>
    <n v="0.01"/>
    <s v="output"/>
    <x v="2"/>
    <s v="False"/>
    <s v="False"/>
    <n v="48"/>
    <n v="128"/>
    <n v="0"/>
    <n v="1456"/>
    <n v="42"/>
    <n v="1.91524922847747E-2"/>
    <n v="6.3877506181596998E-3"/>
    <n v="4.2549138888716004E-3"/>
    <n v="6.380935303039E-3"/>
    <s v="-0.00019771644"/>
    <n v="6.380935303039E-3"/>
    <s v="Off"/>
    <s v="Off"/>
    <x v="6"/>
  </r>
  <r>
    <d v="2026-05-26T00:00:00"/>
    <s v="20-19-51"/>
    <s v="4...seq_l=128...i_att=False...t_att=True...h_size=64...ovlap=0.0...schd=cosine...lr=0.01"/>
    <n v="4"/>
    <n v="128"/>
    <s v="False"/>
    <s v="True"/>
    <n v="64"/>
    <n v="0"/>
    <s v="cosine"/>
    <n v="0.01"/>
    <s v="output"/>
    <x v="3"/>
    <s v="False"/>
    <s v="True"/>
    <n v="64"/>
    <n v="128"/>
    <n v="0"/>
    <n v="1444"/>
    <n v="42"/>
    <n v="2.00376738794147E-2"/>
    <n v="7.6698851771651996E-3"/>
    <n v="4.1225962340831002E-3"/>
    <n v="7.6766548574797996E-3"/>
    <s v="-0.00036848962"/>
    <n v="7.6766548574797996E-3"/>
    <s v="Off"/>
    <s v="On"/>
    <x v="2"/>
  </r>
  <r>
    <d v="2026-05-26T00:00:00"/>
    <s v="20-19-51"/>
    <s v="4...seq_l=128...i_att=True...t_att=True...h_size=48...ovlap=0.0...schd=cosine...lr=0.01"/>
    <n v="4"/>
    <n v="128"/>
    <s v="True"/>
    <s v="True"/>
    <n v="48"/>
    <n v="0"/>
    <s v="cosine"/>
    <n v="0.01"/>
    <s v="output"/>
    <x v="3"/>
    <s v="True"/>
    <s v="True"/>
    <n v="48"/>
    <n v="128"/>
    <n v="0"/>
    <n v="1456"/>
    <n v="42"/>
    <n v="2.0509419031441201E-2"/>
    <n v="7.7904565259814002E-3"/>
    <n v="4.2396541684864997E-3"/>
    <n v="7.8055042670003997E-3"/>
    <s v="0.0013963962"/>
    <n v="7.8055042670003997E-3"/>
    <s v="On"/>
    <s v="On"/>
    <x v="4"/>
  </r>
  <r>
    <d v="2026-05-26T00:00:00"/>
    <s v="20-19-51"/>
    <s v="4...seq_l=128...i_att=False...t_att=True...h_size=48...ovlap=0.0...schd=cosine...lr=0.01"/>
    <n v="4"/>
    <n v="128"/>
    <s v="False"/>
    <s v="True"/>
    <n v="48"/>
    <n v="0"/>
    <s v="cosine"/>
    <n v="0.01"/>
    <s v="output"/>
    <x v="3"/>
    <s v="False"/>
    <s v="True"/>
    <n v="48"/>
    <n v="128"/>
    <n v="0"/>
    <n v="1464"/>
    <n v="42"/>
    <n v="2.1008328534662699E-2"/>
    <n v="7.8416634351015004E-3"/>
    <n v="4.3888883665203996E-3"/>
    <n v="7.8484577954643E-3"/>
    <s v="-0.0002891181"/>
    <n v="7.8484577954643E-3"/>
    <s v="Off"/>
    <s v="On"/>
    <x v="1"/>
  </r>
  <r>
    <d v="2026-05-26T00:00:00"/>
    <s v="20-19-14"/>
    <s v="2...seq_l=128...i_att=True...t_att=False...h_size=32...ovlap=0.0...schd=cosine...lr=0.01"/>
    <n v="2"/>
    <n v="128"/>
    <s v="True"/>
    <s v="False"/>
    <n v="32"/>
    <n v="0"/>
    <s v="cosine"/>
    <n v="0.01"/>
    <s v="output"/>
    <x v="0"/>
    <s v="True"/>
    <s v="False"/>
    <n v="32"/>
    <n v="128"/>
    <n v="0"/>
    <n v="1424"/>
    <n v="41"/>
    <n v="2.1846555173396998E-2"/>
    <n v="7.8281378373503008E-3"/>
    <n v="4.6728057786821998E-3"/>
    <n v="7.8394402646355995E-3"/>
    <s v="-0.00014082158"/>
    <n v="7.8394402646355995E-3"/>
    <s v="On"/>
    <s v="Off"/>
    <x v="11"/>
  </r>
  <r>
    <d v="2026-05-26T00:00:00"/>
    <s v="20-19-51"/>
    <s v="4...seq_l=128...i_att=True...t_att=True...h_size=32...ovlap=0.0...schd=cosine...lr=0.01"/>
    <n v="4"/>
    <n v="128"/>
    <s v="True"/>
    <s v="True"/>
    <n v="32"/>
    <n v="0"/>
    <s v="cosine"/>
    <n v="0.01"/>
    <s v="output"/>
    <x v="3"/>
    <s v="True"/>
    <s v="True"/>
    <n v="32"/>
    <n v="128"/>
    <n v="0"/>
    <n v="1476"/>
    <n v="43"/>
    <n v="2.2407488431781499E-2"/>
    <n v="8.5375579074024998E-3"/>
    <n v="4.6233101747929998E-3"/>
    <n v="8.5513195954263002E-3"/>
    <s v="-0.00089377014"/>
    <n v="8.5513195954263002E-3"/>
    <s v="On"/>
    <s v="On"/>
    <x v="9"/>
  </r>
  <r>
    <d v="2026-05-26T00:00:00"/>
    <s v="20-19-51"/>
    <s v="4...seq_l=128...i_att=False...t_att=True...h_size=32...ovlap=0.0...schd=cosine...lr=0.01"/>
    <n v="4"/>
    <n v="128"/>
    <s v="False"/>
    <s v="True"/>
    <n v="32"/>
    <n v="0"/>
    <s v="cosine"/>
    <n v="0.01"/>
    <s v="output"/>
    <x v="3"/>
    <s v="False"/>
    <s v="True"/>
    <n v="32"/>
    <n v="128"/>
    <n v="0"/>
    <n v="1448"/>
    <n v="42"/>
    <n v="2.25986647419631E-2"/>
    <n v="8.4281675517558999E-3"/>
    <n v="4.7234990634023996E-3"/>
    <n v="8.4377397886579997E-3"/>
    <s v="-0.0002461769"/>
    <n v="8.4377397886579997E-3"/>
    <s v="Off"/>
    <s v="On"/>
    <x v="0"/>
  </r>
  <r>
    <d v="2026-05-26T00:00:00"/>
    <s v="20-20-20"/>
    <s v="6...seq_l=128...i_att=False...t_att=True...h_size=64...ovlap=0.0...schd=cosine...lr=0.01"/>
    <n v="6"/>
    <n v="128"/>
    <s v="False"/>
    <s v="True"/>
    <n v="64"/>
    <n v="0"/>
    <s v="cosine"/>
    <n v="0.01"/>
    <s v="output"/>
    <x v="4"/>
    <s v="False"/>
    <s v="True"/>
    <n v="64"/>
    <n v="128"/>
    <n v="0"/>
    <n v="1464"/>
    <n v="42"/>
    <n v="2.2655885200947499E-2"/>
    <n v="1.19232647120952E-2"/>
    <n v="3.5775401629507E-3"/>
    <n v="1.19516771907607E-2"/>
    <s v="-0.00063534925"/>
    <n v="1.19516771907607E-2"/>
    <s v="Off"/>
    <s v="On"/>
    <x v="2"/>
  </r>
  <r>
    <d v="2026-05-26T00:00:00"/>
    <s v="20-19-51"/>
    <s v="4...seq_l=128...i_att=False...t_att=False...h_size=32...ovlap=0.0...schd=cosine...lr=0.01"/>
    <n v="4"/>
    <n v="128"/>
    <s v="False"/>
    <s v="False"/>
    <n v="32"/>
    <n v="0"/>
    <s v="cosine"/>
    <n v="0.01"/>
    <s v="output"/>
    <x v="3"/>
    <s v="False"/>
    <s v="False"/>
    <n v="32"/>
    <n v="128"/>
    <n v="0"/>
    <n v="1324"/>
    <n v="38"/>
    <n v="2.2929058875888499E-2"/>
    <n v="8.3314841613172999E-3"/>
    <n v="4.8658582381904004E-3"/>
    <n v="8.3339770531488007E-3"/>
    <s v="-0.00025889266"/>
    <n v="8.3339770531488007E-3"/>
    <s v="Off"/>
    <s v="Off"/>
    <x v="7"/>
  </r>
  <r>
    <d v="2026-05-26T00:00:00"/>
    <s v="20-20-20"/>
    <s v="5...seq_l=128...i_att=False...t_att=True...h_size=64...ovlap=0.0...schd=cosine...lr=0.01"/>
    <n v="5"/>
    <n v="128"/>
    <s v="False"/>
    <s v="True"/>
    <n v="64"/>
    <n v="0"/>
    <s v="cosine"/>
    <n v="0.01"/>
    <s v="output"/>
    <x v="5"/>
    <s v="False"/>
    <s v="True"/>
    <n v="64"/>
    <n v="128"/>
    <n v="0"/>
    <n v="1180"/>
    <n v="34"/>
    <n v="2.33068470843136E-2"/>
    <n v="1.0979010723531199E-2"/>
    <n v="4.1092787869274E-3"/>
    <n v="1.0989430670936899E-2"/>
    <s v="-0.00046611857"/>
    <n v="1.0989430670936899E-2"/>
    <s v="Off"/>
    <s v="On"/>
    <x v="2"/>
  </r>
  <r>
    <d v="2026-05-26T00:00:00"/>
    <s v="20-19-51"/>
    <s v="4...seq_l=128...i_att=False...t_att=False...h_size=48...ovlap=0.0...schd=cosine...lr=0.01"/>
    <n v="4"/>
    <n v="128"/>
    <s v="False"/>
    <s v="False"/>
    <n v="48"/>
    <n v="0"/>
    <s v="cosine"/>
    <n v="0.01"/>
    <s v="output"/>
    <x v="3"/>
    <s v="False"/>
    <s v="False"/>
    <n v="48"/>
    <n v="128"/>
    <n v="0"/>
    <n v="1288"/>
    <n v="37"/>
    <n v="2.3313682060688699E-2"/>
    <n v="8.4290103986858992E-3"/>
    <n v="4.9615572206675998E-3"/>
    <n v="8.4331288105910993E-3"/>
    <s v="-0.00063141773"/>
    <n v="8.4331288105910993E-3"/>
    <s v="Off"/>
    <s v="Off"/>
    <x v="6"/>
  </r>
  <r>
    <d v="2026-05-26T00:00:00"/>
    <s v="20-19-51"/>
    <s v="4...seq_l=128...i_att=True...t_att=True...h_size=64...ovlap=0.0...schd=cosine...lr=0.01"/>
    <n v="4"/>
    <n v="128"/>
    <s v="True"/>
    <s v="True"/>
    <n v="64"/>
    <n v="0"/>
    <s v="cosine"/>
    <n v="0.01"/>
    <s v="output"/>
    <x v="3"/>
    <s v="True"/>
    <s v="True"/>
    <n v="64"/>
    <n v="128"/>
    <n v="0"/>
    <n v="1288"/>
    <n v="37"/>
    <n v="2.3539484012871901E-2"/>
    <n v="8.3926655352115007E-3"/>
    <n v="5.0489394925533997E-3"/>
    <n v="8.3932473013798008E-3"/>
    <n v="7.38645"/>
    <n v="8.3932473013798008E-3"/>
    <s v="On"/>
    <s v="On"/>
    <x v="3"/>
  </r>
  <r>
    <d v="2026-05-26T00:00:00"/>
    <s v="20-19-14"/>
    <s v="1...seq_l=128...i_att=True...t_att=True...h_size=48...ovlap=0.0...schd=cosine...lr=0.01"/>
    <n v="1"/>
    <n v="128"/>
    <s v="True"/>
    <s v="True"/>
    <n v="48"/>
    <n v="0"/>
    <s v="cosine"/>
    <n v="0.01"/>
    <s v="output"/>
    <x v="1"/>
    <s v="True"/>
    <s v="True"/>
    <n v="48"/>
    <n v="128"/>
    <n v="0"/>
    <n v="1500"/>
    <n v="43"/>
    <n v="2.3551135789602901E-2"/>
    <n v="7.2823897935449999E-3"/>
    <n v="5.4229153320192996E-3"/>
    <n v="7.2812815196811997E-3"/>
    <s v="-0.0017124306"/>
    <n v="7.2812815196811997E-3"/>
    <s v="On"/>
    <s v="On"/>
    <x v="4"/>
  </r>
  <r>
    <d v="2026-05-26T00:00:00"/>
    <s v="20-19-51"/>
    <s v="4...seq_l=128...i_att=True...t_att=False...h_size=64...ovlap=0.0...schd=cosine...lr=0.01"/>
    <n v="4"/>
    <n v="128"/>
    <s v="True"/>
    <s v="False"/>
    <n v="64"/>
    <n v="0"/>
    <s v="cosine"/>
    <n v="0.01"/>
    <s v="output"/>
    <x v="3"/>
    <s v="True"/>
    <s v="False"/>
    <n v="64"/>
    <n v="128"/>
    <n v="0"/>
    <n v="1292"/>
    <n v="37"/>
    <n v="2.3921651765704099E-2"/>
    <n v="8.8322283700108008E-3"/>
    <n v="5.0298077985644002E-3"/>
    <n v="8.8376798667013003E-3"/>
    <s v="0.00042688558"/>
    <n v="8.8376798667013003E-3"/>
    <s v="On"/>
    <s v="Off"/>
    <x v="10"/>
  </r>
  <r>
    <d v="2026-05-26T00:00:00"/>
    <s v="20-20-20"/>
    <s v="5...seq_l=128...i_att=False...t_att=True...h_size=48...ovlap=0.0...schd=cosine...lr=0.01"/>
    <n v="5"/>
    <n v="128"/>
    <s v="False"/>
    <s v="True"/>
    <n v="48"/>
    <n v="0"/>
    <s v="cosine"/>
    <n v="0.01"/>
    <s v="output"/>
    <x v="5"/>
    <s v="False"/>
    <s v="True"/>
    <n v="48"/>
    <n v="128"/>
    <n v="0"/>
    <n v="1392"/>
    <n v="40"/>
    <n v="2.4166615679860101E-2"/>
    <n v="1.1317834258079499E-2"/>
    <n v="4.2829271405935001E-3"/>
    <n v="1.13270214448372E-2"/>
    <s v="0.00024380042"/>
    <n v="1.13270214448372E-2"/>
    <s v="Off"/>
    <s v="On"/>
    <x v="1"/>
  </r>
  <r>
    <d v="2026-05-26T00:00:00"/>
    <s v="20-19-51"/>
    <s v="4...seq_l=128...i_att=True...t_att=False...h_size=48...ovlap=0.0...schd=cosine...lr=0.01"/>
    <n v="4"/>
    <n v="128"/>
    <s v="True"/>
    <s v="False"/>
    <n v="48"/>
    <n v="0"/>
    <s v="cosine"/>
    <n v="0.01"/>
    <s v="output"/>
    <x v="3"/>
    <s v="True"/>
    <s v="False"/>
    <n v="48"/>
    <n v="128"/>
    <n v="0"/>
    <n v="1396"/>
    <n v="40"/>
    <n v="2.42849076166749E-2"/>
    <n v="8.8225649669765992E-3"/>
    <n v="5.1541142165659999E-3"/>
    <n v="8.8286200641757E-3"/>
    <s v="0.0006156781"/>
    <n v="8.8286200641757E-3"/>
    <s v="On"/>
    <s v="Off"/>
    <x v="8"/>
  </r>
  <r>
    <d v="2026-05-26T00:00:00"/>
    <s v="20-20-20"/>
    <s v="6...seq_l=128...i_att=False...t_att=True...h_size=48...ovlap=0.0...schd=cosine...lr=0.01"/>
    <n v="6"/>
    <n v="128"/>
    <s v="False"/>
    <s v="True"/>
    <n v="48"/>
    <n v="0"/>
    <s v="cosine"/>
    <n v="0.01"/>
    <s v="output"/>
    <x v="4"/>
    <s v="False"/>
    <s v="True"/>
    <n v="48"/>
    <n v="128"/>
    <n v="0"/>
    <n v="1476"/>
    <n v="43"/>
    <n v="2.4441970046609598E-2"/>
    <n v="1.2346158735453999E-2"/>
    <n v="4.0319371037185001E-3"/>
    <n v="1.2378740124404399E-2"/>
    <s v="-0.00055279006"/>
    <n v="1.2378740124404399E-2"/>
    <s v="Off"/>
    <s v="On"/>
    <x v="1"/>
  </r>
  <r>
    <d v="2026-05-26T00:00:00"/>
    <s v="20-20-20"/>
    <s v="5...seq_l=128...i_att=True...t_att=True...h_size=48...ovlap=0.0...schd=cosine...lr=0.01"/>
    <n v="5"/>
    <n v="128"/>
    <s v="True"/>
    <s v="True"/>
    <n v="48"/>
    <n v="0"/>
    <s v="cosine"/>
    <n v="0.01"/>
    <s v="output"/>
    <x v="5"/>
    <s v="True"/>
    <s v="True"/>
    <n v="48"/>
    <n v="128"/>
    <n v="0"/>
    <n v="1396"/>
    <n v="40"/>
    <n v="2.5275783613324099E-2"/>
    <n v="1.14300781860947E-2"/>
    <n v="4.6152351424097997E-3"/>
    <n v="1.1440223703781701E-2"/>
    <s v="0.0011076403"/>
    <n v="1.1440223703781701E-2"/>
    <s v="On"/>
    <s v="On"/>
    <x v="4"/>
  </r>
  <r>
    <d v="2026-05-26T00:00:00"/>
    <s v="20-20-20"/>
    <s v="6...seq_l=128...i_att=False...t_att=False...h_size=64...ovlap=0.0...schd=cosine...lr=0.01"/>
    <n v="6"/>
    <n v="128"/>
    <s v="False"/>
    <s v="False"/>
    <n v="64"/>
    <n v="0"/>
    <s v="cosine"/>
    <n v="0.01"/>
    <s v="output"/>
    <x v="4"/>
    <s v="False"/>
    <s v="False"/>
    <n v="64"/>
    <n v="128"/>
    <n v="0"/>
    <n v="1460"/>
    <n v="42"/>
    <n v="2.5516316294670102E-2"/>
    <n v="1.24683668836951E-2"/>
    <n v="4.3493164703249003E-3"/>
    <n v="1.2500289310183699E-2"/>
    <s v="-0.0004798981"/>
    <n v="1.2500289310183699E-2"/>
    <s v="Off"/>
    <s v="Off"/>
    <x v="5"/>
  </r>
  <r>
    <d v="2026-05-26T00:00:00"/>
    <s v="20-20-20"/>
    <s v="6...seq_l=128...i_att=True...t_att=True...h_size=48...ovlap=0.0...schd=cosine...lr=0.01"/>
    <n v="6"/>
    <n v="128"/>
    <s v="True"/>
    <s v="True"/>
    <n v="48"/>
    <n v="0"/>
    <s v="cosine"/>
    <n v="0.01"/>
    <s v="output"/>
    <x v="4"/>
    <s v="True"/>
    <s v="True"/>
    <n v="48"/>
    <n v="128"/>
    <n v="0"/>
    <n v="1480"/>
    <n v="43"/>
    <n v="2.5614428333938101E-2"/>
    <n v="1.2672308832406901E-2"/>
    <n v="4.3140398338437002E-3"/>
    <n v="1.27057621462477E-2"/>
    <s v="-0.00033333877"/>
    <n v="1.27057621462477E-2"/>
    <s v="On"/>
    <s v="On"/>
    <x v="4"/>
  </r>
  <r>
    <d v="2026-05-26T00:00:00"/>
    <s v="20-20-20"/>
    <s v="5...seq_l=128...i_att=True...t_att=True...h_size=32...ovlap=0.0...schd=cosine...lr=0.01"/>
    <n v="5"/>
    <n v="128"/>
    <s v="True"/>
    <s v="True"/>
    <n v="32"/>
    <n v="0"/>
    <s v="cosine"/>
    <n v="0.01"/>
    <s v="output"/>
    <x v="5"/>
    <s v="True"/>
    <s v="True"/>
    <n v="32"/>
    <n v="128"/>
    <n v="0"/>
    <n v="1244"/>
    <n v="36"/>
    <n v="2.5658996310084999E-2"/>
    <n v="1.2157492339611E-2"/>
    <n v="4.5005013234913002E-3"/>
    <n v="1.2180427606734901E-2"/>
    <s v="0.0028509516"/>
    <n v="1.2180427606734901E-2"/>
    <s v="On"/>
    <s v="On"/>
    <x v="9"/>
  </r>
  <r>
    <d v="2026-05-26T00:00:00"/>
    <s v="20-20-20"/>
    <s v="6...seq_l=128...i_att=True...t_att=True...h_size=64...ovlap=0.0...schd=cosine...lr=0.01"/>
    <n v="6"/>
    <n v="128"/>
    <s v="True"/>
    <s v="True"/>
    <n v="64"/>
    <n v="0"/>
    <s v="cosine"/>
    <n v="0.01"/>
    <s v="output"/>
    <x v="4"/>
    <s v="True"/>
    <s v="True"/>
    <n v="64"/>
    <n v="128"/>
    <n v="0"/>
    <n v="1500"/>
    <n v="43"/>
    <n v="2.5696449447423199E-2"/>
    <n v="1.25739835202693E-2"/>
    <n v="4.3741553090511998E-3"/>
    <n v="1.26052539174755E-2"/>
    <s v="-0.00064387877"/>
    <n v="1.26052539174755E-2"/>
    <s v="On"/>
    <s v="On"/>
    <x v="3"/>
  </r>
  <r>
    <d v="2026-05-26T00:00:00"/>
    <s v="20-20-20"/>
    <s v="6...seq_l=128...i_att=False...t_att=False...h_size=48...ovlap=0.0...schd=cosine...lr=0.01"/>
    <n v="6"/>
    <n v="128"/>
    <s v="False"/>
    <s v="False"/>
    <n v="48"/>
    <n v="0"/>
    <s v="cosine"/>
    <n v="0.01"/>
    <s v="output"/>
    <x v="4"/>
    <s v="False"/>
    <s v="False"/>
    <n v="48"/>
    <n v="128"/>
    <n v="0"/>
    <n v="1352"/>
    <n v="39"/>
    <n v="2.5886102113872701E-2"/>
    <n v="1.24815180897712E-2"/>
    <n v="4.4681946747003997E-3"/>
    <n v="1.2513194957541E-2"/>
    <s v="-0.0005827039"/>
    <n v="1.2513194957541E-2"/>
    <s v="Off"/>
    <s v="Off"/>
    <x v="6"/>
  </r>
  <r>
    <d v="2026-05-26T00:00:00"/>
    <s v="20-20-20"/>
    <s v="5...seq_l=128...i_att=False...t_att=False...h_size=64...ovlap=0.0...schd=cosine...lr=0.01"/>
    <n v="5"/>
    <n v="128"/>
    <s v="False"/>
    <s v="False"/>
    <n v="64"/>
    <n v="0"/>
    <s v="cosine"/>
    <n v="0.01"/>
    <s v="output"/>
    <x v="5"/>
    <s v="False"/>
    <s v="False"/>
    <n v="64"/>
    <n v="128"/>
    <n v="0"/>
    <n v="1400"/>
    <n v="40"/>
    <n v="2.59138904511928E-2"/>
    <n v="1.16513613611459E-2"/>
    <n v="4.7541763633489002E-3"/>
    <n v="1.16560381526748E-2"/>
    <n v="574.24465999999995"/>
    <n v="1.16560381526748E-2"/>
    <s v="Off"/>
    <s v="Off"/>
    <x v="5"/>
  </r>
  <r>
    <d v="2026-05-26T00:00:00"/>
    <s v="20-20-20"/>
    <s v="5...seq_l=128...i_att=False...t_att=False...h_size=48...ovlap=0.0...schd=cosine...lr=0.01"/>
    <n v="5"/>
    <n v="128"/>
    <s v="False"/>
    <s v="False"/>
    <n v="48"/>
    <n v="0"/>
    <s v="cosine"/>
    <n v="0.01"/>
    <s v="output"/>
    <x v="5"/>
    <s v="False"/>
    <s v="False"/>
    <n v="48"/>
    <n v="128"/>
    <n v="0"/>
    <n v="1400"/>
    <n v="40"/>
    <n v="2.6145894546061699E-2"/>
    <n v="1.1853219941258399E-2"/>
    <n v="4.7642248682677E-3"/>
    <n v="1.18645926316579E-2"/>
    <n v="-9.9053699999999996"/>
    <n v="1.18645926316579E-2"/>
    <s v="Off"/>
    <s v="Off"/>
    <x v="6"/>
  </r>
  <r>
    <d v="2026-05-26T00:00:00"/>
    <s v="20-20-20"/>
    <s v="5...seq_l=128...i_att=True...t_att=False...h_size=64...ovlap=0.0...schd=cosine...lr=0.01"/>
    <n v="5"/>
    <n v="128"/>
    <s v="True"/>
    <s v="False"/>
    <n v="64"/>
    <n v="0"/>
    <s v="cosine"/>
    <n v="0.01"/>
    <s v="output"/>
    <x v="5"/>
    <s v="True"/>
    <s v="False"/>
    <n v="64"/>
    <n v="128"/>
    <n v="0"/>
    <n v="1356"/>
    <n v="39"/>
    <n v="2.7091844007372801E-2"/>
    <n v="1.25169716775417E-2"/>
    <n v="4.8582907766102999E-3"/>
    <n v="1.25206339483459E-2"/>
    <s v="-0.0040228153"/>
    <n v="1.25206339483459E-2"/>
    <s v="On"/>
    <s v="Off"/>
    <x v="10"/>
  </r>
  <r>
    <d v="2026-05-26T00:00:00"/>
    <s v="20-20-20"/>
    <s v="5...seq_l=128...i_att=True...t_att=True...h_size=64...ovlap=0.0...schd=cosine...lr=0.01"/>
    <n v="5"/>
    <n v="128"/>
    <s v="True"/>
    <s v="True"/>
    <n v="64"/>
    <n v="0"/>
    <s v="cosine"/>
    <n v="0.01"/>
    <s v="output"/>
    <x v="5"/>
    <s v="True"/>
    <s v="True"/>
    <n v="64"/>
    <n v="128"/>
    <n v="0"/>
    <n v="1244"/>
    <n v="36"/>
    <n v="2.72151376120746E-2"/>
    <n v="1.1812455952167501E-2"/>
    <n v="5.1342272199690004E-3"/>
    <n v="1.1833038181066499E-2"/>
    <s v="0.0031338958"/>
    <n v="1.1833038181066499E-2"/>
    <s v="On"/>
    <s v="On"/>
    <x v="3"/>
  </r>
  <r>
    <d v="2026-05-26T00:00:00"/>
    <s v="20-20-20"/>
    <s v="6...seq_l=128...i_att=False...t_att=False...h_size=32...ovlap=0.0...schd=cosine...lr=0.01"/>
    <n v="6"/>
    <n v="128"/>
    <s v="False"/>
    <s v="False"/>
    <n v="32"/>
    <n v="0"/>
    <s v="cosine"/>
    <n v="0.01"/>
    <s v="output"/>
    <x v="4"/>
    <s v="False"/>
    <s v="False"/>
    <n v="32"/>
    <n v="128"/>
    <n v="0"/>
    <n v="1348"/>
    <n v="39"/>
    <n v="2.79145408421754E-2"/>
    <n v="1.29442187026143E-2"/>
    <n v="4.9901073798537003E-3"/>
    <n v="1.2980828786061801E-2"/>
    <s v="-0.0010659866"/>
    <n v="1.2980828786061801E-2"/>
    <s v="Off"/>
    <s v="Off"/>
    <x v="7"/>
  </r>
  <r>
    <d v="2026-05-26T00:00:00"/>
    <s v="20-20-20"/>
    <s v="6...seq_l=128...i_att=True...t_att=False...h_size=64...ovlap=0.0...schd=cosine...lr=0.01"/>
    <n v="6"/>
    <n v="128"/>
    <s v="True"/>
    <s v="False"/>
    <n v="64"/>
    <n v="0"/>
    <s v="cosine"/>
    <n v="0.01"/>
    <s v="output"/>
    <x v="4"/>
    <s v="True"/>
    <s v="False"/>
    <n v="64"/>
    <n v="128"/>
    <n v="0"/>
    <n v="1352"/>
    <n v="39"/>
    <n v="2.8313199989497599E-2"/>
    <n v="1.3232915662229E-2"/>
    <n v="5.0267614424228E-3"/>
    <n v="1.3270188743869401E-2"/>
    <s v="-0.0011491836"/>
    <n v="1.3270188743869401E-2"/>
    <s v="On"/>
    <s v="Off"/>
    <x v="10"/>
  </r>
  <r>
    <d v="2026-05-26T00:00:00"/>
    <s v="20-19-51"/>
    <s v="4...seq_l=128...i_att=True...t_att=False...h_size=32...ovlap=0.0...schd=cosine...lr=0.01"/>
    <n v="4"/>
    <n v="128"/>
    <s v="True"/>
    <s v="False"/>
    <n v="32"/>
    <n v="0"/>
    <s v="cosine"/>
    <n v="0.01"/>
    <s v="output"/>
    <x v="3"/>
    <s v="True"/>
    <s v="False"/>
    <n v="32"/>
    <n v="128"/>
    <n v="0"/>
    <n v="1448"/>
    <n v="42"/>
    <n v="2.8479755390435402E-2"/>
    <n v="9.4454940408468004E-3"/>
    <n v="6.3447537831961996E-3"/>
    <n v="9.4523904845118002E-3"/>
    <s v="0.001964371"/>
    <n v="9.4523904845118002E-3"/>
    <s v="On"/>
    <s v="Off"/>
    <x v="11"/>
  </r>
  <r>
    <d v="2026-05-26T00:00:00"/>
    <s v="20-20-20"/>
    <s v="6...seq_l=128...i_att=True...t_att=True...h_size=32...ovlap=0.0...schd=cosine...lr=0.01"/>
    <n v="6"/>
    <n v="128"/>
    <s v="True"/>
    <s v="True"/>
    <n v="32"/>
    <n v="0"/>
    <s v="cosine"/>
    <n v="0.01"/>
    <s v="output"/>
    <x v="4"/>
    <s v="True"/>
    <s v="True"/>
    <n v="32"/>
    <n v="128"/>
    <n v="0"/>
    <n v="1436"/>
    <n v="42"/>
    <n v="2.8695257380604699E-2"/>
    <n v="1.32980225607752E-2"/>
    <n v="5.1324116066097996E-3"/>
    <n v="1.33343510743644E-2"/>
    <s v="-0.0012812082"/>
    <n v="1.33343510743644E-2"/>
    <s v="On"/>
    <s v="On"/>
    <x v="9"/>
  </r>
  <r>
    <d v="2026-05-26T00:00:00"/>
    <s v="20-20-20"/>
    <s v="6...seq_l=128...i_att=False...t_att=True...h_size=32...ovlap=0.0...schd=cosine...lr=0.01"/>
    <n v="6"/>
    <n v="128"/>
    <s v="False"/>
    <s v="True"/>
    <n v="32"/>
    <n v="0"/>
    <s v="cosine"/>
    <n v="0.01"/>
    <s v="output"/>
    <x v="4"/>
    <s v="False"/>
    <s v="True"/>
    <n v="32"/>
    <n v="128"/>
    <n v="0"/>
    <n v="1480"/>
    <n v="43"/>
    <n v="2.9100990854203701E-2"/>
    <n v="1.2813511304557299E-2"/>
    <n v="5.4291598498820998E-3"/>
    <n v="1.2849723092383801E-2"/>
    <s v="0.00045708602"/>
    <n v="1.2849723092383801E-2"/>
    <s v="Off"/>
    <s v="On"/>
    <x v="0"/>
  </r>
  <r>
    <d v="2026-05-26T00:00:00"/>
    <s v="20-20-20"/>
    <s v="6...seq_l=128...i_att=True...t_att=False...h_size=48...ovlap=0.0...schd=cosine...lr=0.01"/>
    <n v="6"/>
    <n v="128"/>
    <s v="True"/>
    <s v="False"/>
    <n v="48"/>
    <n v="0"/>
    <s v="cosine"/>
    <n v="0.01"/>
    <s v="output"/>
    <x v="4"/>
    <s v="True"/>
    <s v="False"/>
    <n v="48"/>
    <n v="128"/>
    <n v="0"/>
    <n v="1504"/>
    <n v="43"/>
    <n v="2.9350681696087101E-2"/>
    <n v="1.3423262163996599E-2"/>
    <n v="5.3091398440301002E-3"/>
    <n v="1.34619614109396E-2"/>
    <s v="-0.00017033855"/>
    <n v="1.34619614109396E-2"/>
    <s v="On"/>
    <s v="Off"/>
    <x v="8"/>
  </r>
  <r>
    <d v="2026-05-26T00:00:00"/>
    <s v="20-19-14"/>
    <s v="1...seq_l=128...i_att=False...t_att=False...h_size=32...ovlap=0.0...schd=cosine...lr=0.01"/>
    <n v="1"/>
    <n v="128"/>
    <s v="False"/>
    <s v="False"/>
    <n v="32"/>
    <n v="0"/>
    <s v="cosine"/>
    <n v="0.01"/>
    <s v="output"/>
    <x v="1"/>
    <s v="False"/>
    <s v="False"/>
    <n v="32"/>
    <n v="128"/>
    <n v="0"/>
    <n v="1416"/>
    <n v="41"/>
    <n v="2.9551818966865501E-2"/>
    <n v="7.0699201896785996E-3"/>
    <n v="7.4939662590622E-3"/>
    <n v="7.0803305651578E-3"/>
    <s v="-0.000691037"/>
    <n v="7.0803305651578E-3"/>
    <s v="Off"/>
    <s v="Off"/>
    <x v="7"/>
  </r>
  <r>
    <d v="2026-05-26T00:00:00"/>
    <s v="20-20-20"/>
    <s v="6...seq_l=128...i_att=True...t_att=False...h_size=32...ovlap=0.0...schd=cosine...lr=0.01"/>
    <n v="6"/>
    <n v="128"/>
    <s v="True"/>
    <s v="False"/>
    <n v="32"/>
    <n v="0"/>
    <s v="cosine"/>
    <n v="0.01"/>
    <s v="output"/>
    <x v="4"/>
    <s v="True"/>
    <s v="False"/>
    <n v="32"/>
    <n v="128"/>
    <n v="0"/>
    <n v="1356"/>
    <n v="39"/>
    <n v="2.9721585102379301E-2"/>
    <n v="1.34692201390862E-2"/>
    <n v="5.4174549877643004E-3"/>
    <n v="1.3507838878366599E-2"/>
    <n v="889.10594000000003"/>
    <n v="1.3507838878366599E-2"/>
    <s v="On"/>
    <s v="Off"/>
    <x v="11"/>
  </r>
  <r>
    <d v="2026-05-26T00:00:00"/>
    <s v="20-19-14"/>
    <s v="1...seq_l=128...i_att=True...t_att=False...h_size=32...ovlap=0.0...schd=cosine...lr=0.01"/>
    <n v="1"/>
    <n v="128"/>
    <s v="True"/>
    <s v="False"/>
    <n v="32"/>
    <n v="0"/>
    <s v="cosine"/>
    <n v="0.01"/>
    <s v="output"/>
    <x v="1"/>
    <s v="True"/>
    <s v="False"/>
    <n v="32"/>
    <n v="128"/>
    <n v="0"/>
    <n v="1416"/>
    <n v="41"/>
    <n v="2.9737059958279102E-2"/>
    <n v="7.7807609923182999E-3"/>
    <n v="7.3187663219868998E-3"/>
    <n v="7.7966032032336999E-3"/>
    <s v="-0.0022070585"/>
    <n v="7.7966032032336999E-3"/>
    <s v="On"/>
    <s v="Off"/>
    <x v="11"/>
  </r>
  <r>
    <d v="2026-05-26T00:00:00"/>
    <s v="20-20-20"/>
    <s v="5...seq_l=128...i_att=False...t_att=False...h_size=32...ovlap=0.0...schd=cosine...lr=0.01"/>
    <n v="5"/>
    <n v="128"/>
    <s v="False"/>
    <s v="False"/>
    <n v="32"/>
    <n v="0"/>
    <s v="cosine"/>
    <n v="0.01"/>
    <s v="output"/>
    <x v="5"/>
    <s v="False"/>
    <s v="False"/>
    <n v="32"/>
    <n v="128"/>
    <n v="0"/>
    <n v="1304"/>
    <n v="38"/>
    <n v="2.9868676792830201E-2"/>
    <n v="1.29004484042525E-2"/>
    <n v="5.6560761295258999E-3"/>
    <n v="1.2903040792379099E-2"/>
    <s v="0.0018257217"/>
    <n v="1.2903040792379099E-2"/>
    <s v="Off"/>
    <s v="Off"/>
    <x v="7"/>
  </r>
  <r>
    <d v="2026-05-26T00:00:00"/>
    <s v="20-20-20"/>
    <s v="5...seq_l=128...i_att=True...t_att=False...h_size=48...ovlap=0.0...schd=cosine...lr=0.01"/>
    <n v="5"/>
    <n v="128"/>
    <s v="True"/>
    <s v="False"/>
    <n v="48"/>
    <n v="0"/>
    <s v="cosine"/>
    <n v="0.01"/>
    <s v="output"/>
    <x v="5"/>
    <s v="True"/>
    <s v="False"/>
    <n v="48"/>
    <n v="128"/>
    <n v="0"/>
    <n v="1180"/>
    <n v="34"/>
    <n v="3.0240188352763601E-2"/>
    <n v="1.23830325901508E-2"/>
    <n v="5.9523852542042004E-3"/>
    <n v="1.23918723935882E-2"/>
    <s v="0.002926013"/>
    <n v="1.23918723935882E-2"/>
    <s v="On"/>
    <s v="Off"/>
    <x v="8"/>
  </r>
  <r>
    <d v="2026-05-26T00:00:00"/>
    <s v="20-19-51"/>
    <s v="3...seq_l=128...i_att=True...t_att=False...h_size=48...ovlap=0.0...schd=cosine...lr=0.01"/>
    <n v="3"/>
    <n v="128"/>
    <s v="True"/>
    <s v="False"/>
    <n v="48"/>
    <n v="0"/>
    <s v="cosine"/>
    <n v="0.01"/>
    <s v="output"/>
    <x v="2"/>
    <s v="True"/>
    <s v="False"/>
    <n v="48"/>
    <n v="128"/>
    <n v="0"/>
    <n v="1500"/>
    <n v="43"/>
    <n v="3.0439666472375299E-2"/>
    <n v="8.4765488281845994E-3"/>
    <n v="7.3210392147302003E-3"/>
    <n v="8.4789510712855003E-3"/>
    <s v="0.00012284049"/>
    <n v="8.4789510712855003E-3"/>
    <s v="On"/>
    <s v="Off"/>
    <x v="8"/>
  </r>
  <r>
    <d v="2026-05-26T00:00:00"/>
    <s v="20-20-20"/>
    <s v="5...seq_l=128...i_att=False...t_att=True...h_size=32...ovlap=0.0...schd=cosine...lr=0.01"/>
    <n v="5"/>
    <n v="128"/>
    <s v="False"/>
    <s v="True"/>
    <n v="32"/>
    <n v="0"/>
    <s v="cosine"/>
    <n v="0.01"/>
    <s v="output"/>
    <x v="5"/>
    <s v="False"/>
    <s v="True"/>
    <n v="32"/>
    <n v="128"/>
    <n v="0"/>
    <n v="1388"/>
    <n v="40"/>
    <n v="3.0678959563374499E-2"/>
    <n v="1.27808302640914E-2"/>
    <n v="5.9660430997609997E-3"/>
    <n v="1.27880373555752E-2"/>
    <s v="-0.00024086035"/>
    <n v="1.27880373555752E-2"/>
    <s v="Off"/>
    <s v="On"/>
    <x v="0"/>
  </r>
  <r>
    <d v="2026-05-26T00:00:00"/>
    <s v="20-19-51"/>
    <s v="3...seq_l=128...i_att=True...t_att=False...h_size=64...ovlap=0.0...schd=cosine...lr=0.01"/>
    <n v="3"/>
    <n v="128"/>
    <s v="True"/>
    <s v="False"/>
    <n v="64"/>
    <n v="0"/>
    <s v="cosine"/>
    <n v="0.01"/>
    <s v="output"/>
    <x v="2"/>
    <s v="True"/>
    <s v="False"/>
    <n v="64"/>
    <n v="128"/>
    <n v="0"/>
    <n v="1496"/>
    <n v="43"/>
    <n v="3.2187014818191501E-2"/>
    <n v="9.0644564479588994E-3"/>
    <n v="7.7075194567441004E-3"/>
    <n v="9.0661782564388001E-3"/>
    <s v="-0.0017443866"/>
    <n v="9.0661782564388001E-3"/>
    <s v="On"/>
    <s v="Off"/>
    <x v="10"/>
  </r>
  <r>
    <d v="2026-05-26T00:00:00"/>
    <s v="20-20-20"/>
    <s v="5...seq_l=128...i_att=True...t_att=False...h_size=32...ovlap=0.0...schd=cosine...lr=0.01"/>
    <n v="5"/>
    <n v="128"/>
    <s v="True"/>
    <s v="False"/>
    <n v="32"/>
    <n v="0"/>
    <s v="cosine"/>
    <n v="0.01"/>
    <s v="output"/>
    <x v="5"/>
    <s v="True"/>
    <s v="False"/>
    <n v="32"/>
    <n v="128"/>
    <n v="0"/>
    <n v="1180"/>
    <n v="34"/>
    <n v="3.3805045764893203E-2"/>
    <n v="1.3949254527688E-2"/>
    <n v="6.6185970790683998E-3"/>
    <n v="1.39574837974376E-2"/>
    <s v="-0.006297417"/>
    <n v="1.39574837974376E-2"/>
    <s v="On"/>
    <s v="Off"/>
    <x v="11"/>
  </r>
  <r>
    <d v="2026-05-26T00:00:00"/>
    <s v="20-19-51"/>
    <s v="3...seq_l=128...i_att=True...t_att=True...h_size=32...ovlap=0.0...schd=cosine...lr=0.01"/>
    <n v="3"/>
    <n v="128"/>
    <s v="True"/>
    <s v="True"/>
    <n v="32"/>
    <n v="0"/>
    <s v="cosine"/>
    <n v="0.01"/>
    <s v="output"/>
    <x v="2"/>
    <s v="True"/>
    <s v="True"/>
    <n v="32"/>
    <n v="128"/>
    <n v="0"/>
    <n v="1444"/>
    <n v="42"/>
    <n v="3.6244900897145202E-2"/>
    <n v="1.00474525243043E-2"/>
    <n v="8.7324827909468997E-3"/>
    <n v="1.00532233094175E-2"/>
    <s v="0.0004809033"/>
    <n v="1.00532233094175E-2"/>
    <s v="On"/>
    <s v="On"/>
    <x v="9"/>
  </r>
  <r>
    <d v="2026-05-26T00:00:00"/>
    <s v="20-19-51"/>
    <s v="3...seq_l=128...i_att=True...t_att=False...h_size=32...ovlap=0.0...schd=cosine...lr=0.01"/>
    <n v="3"/>
    <n v="128"/>
    <s v="True"/>
    <s v="False"/>
    <n v="32"/>
    <n v="0"/>
    <s v="cosine"/>
    <n v="0.01"/>
    <s v="output"/>
    <x v="2"/>
    <s v="True"/>
    <s v="False"/>
    <n v="32"/>
    <n v="128"/>
    <n v="0"/>
    <n v="1380"/>
    <n v="40"/>
    <n v="5.1431386731564999E-2"/>
    <n v="1.32008781656622E-2"/>
    <n v="1.27435028553009E-2"/>
    <n v="1.32286637607547E-2"/>
    <s v="-0.001726753"/>
    <n v="1.32286637607547E-2"/>
    <s v="On"/>
    <s v="Off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3D39F-01AD-4182-8DCB-618ECDC12A22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H17" firstHeaderRow="1" firstDataRow="2" firstDataCol="1"/>
  <pivotFields count="29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1"/>
        <item x="0"/>
        <item x="2"/>
        <item x="3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7"/>
        <item x="0"/>
        <item x="11"/>
        <item x="9"/>
        <item x="6"/>
        <item x="1"/>
        <item x="8"/>
        <item x="4"/>
        <item x="5"/>
        <item x="2"/>
        <item x="10"/>
        <item x="3"/>
        <item t="default"/>
      </items>
    </pivotField>
  </pivotFields>
  <rowFields count="1">
    <field x="2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Media di custom_score" fld="20" subtotal="average" baseField="2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AE8E-441E-4002-AF44-1C2BE4C06972}">
  <dimension ref="A3:H17"/>
  <sheetViews>
    <sheetView workbookViewId="0">
      <selection activeCell="H17" sqref="A3:H17"/>
    </sheetView>
  </sheetViews>
  <sheetFormatPr defaultRowHeight="14.25" x14ac:dyDescent="0.45"/>
  <cols>
    <col min="1" max="1" width="29.3984375" bestFit="1" customWidth="1"/>
    <col min="2" max="2" width="19.265625" bestFit="1" customWidth="1"/>
    <col min="3" max="7" width="11.73046875" bestFit="1" customWidth="1"/>
    <col min="8" max="8" width="16.3984375" bestFit="1" customWidth="1"/>
  </cols>
  <sheetData>
    <row r="3" spans="1:8" x14ac:dyDescent="0.45">
      <c r="A3" s="3" t="s">
        <v>187</v>
      </c>
      <c r="B3" s="3" t="s">
        <v>186</v>
      </c>
    </row>
    <row r="4" spans="1:8" x14ac:dyDescent="0.45">
      <c r="A4" s="3" t="s">
        <v>172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 t="s">
        <v>185</v>
      </c>
    </row>
    <row r="5" spans="1:8" x14ac:dyDescent="0.45">
      <c r="A5" s="4" t="s">
        <v>173</v>
      </c>
      <c r="B5">
        <v>2.9551818966865501E-2</v>
      </c>
      <c r="C5">
        <v>1.15147072356194E-2</v>
      </c>
      <c r="D5">
        <v>1.8544524442404502E-2</v>
      </c>
      <c r="E5">
        <v>2.2929058875888499E-2</v>
      </c>
      <c r="F5">
        <v>2.9868676792830201E-2</v>
      </c>
      <c r="G5">
        <v>2.79145408421754E-2</v>
      </c>
      <c r="H5">
        <v>2.3387221192630581E-2</v>
      </c>
    </row>
    <row r="6" spans="1:8" x14ac:dyDescent="0.45">
      <c r="A6" s="4" t="s">
        <v>174</v>
      </c>
      <c r="B6">
        <v>1.10540682217106E-2</v>
      </c>
      <c r="C6">
        <v>5.7228491059503998E-3</v>
      </c>
      <c r="D6">
        <v>1.6797091113403401E-2</v>
      </c>
      <c r="E6">
        <v>2.25986647419631E-2</v>
      </c>
      <c r="F6">
        <v>3.0678959563374499E-2</v>
      </c>
      <c r="G6">
        <v>2.9100990854203701E-2</v>
      </c>
      <c r="H6">
        <v>1.9325437266767616E-2</v>
      </c>
    </row>
    <row r="7" spans="1:8" x14ac:dyDescent="0.45">
      <c r="A7" s="4" t="s">
        <v>175</v>
      </c>
      <c r="B7">
        <v>2.9737059958279102E-2</v>
      </c>
      <c r="C7">
        <v>2.1846555173396998E-2</v>
      </c>
      <c r="D7">
        <v>5.1431386731564999E-2</v>
      </c>
      <c r="E7">
        <v>2.8479755390435402E-2</v>
      </c>
      <c r="F7">
        <v>3.3805045764893203E-2</v>
      </c>
      <c r="G7">
        <v>2.9721585102379301E-2</v>
      </c>
      <c r="H7">
        <v>3.2503564686824832E-2</v>
      </c>
    </row>
    <row r="8" spans="1:8" x14ac:dyDescent="0.45">
      <c r="A8" s="4" t="s">
        <v>176</v>
      </c>
      <c r="B8">
        <v>1.31620471365749E-2</v>
      </c>
      <c r="C8">
        <v>1.7820963636040601E-2</v>
      </c>
      <c r="D8">
        <v>3.6244900897145202E-2</v>
      </c>
      <c r="E8">
        <v>2.2407488431781499E-2</v>
      </c>
      <c r="F8">
        <v>2.5658996310084999E-2</v>
      </c>
      <c r="G8">
        <v>2.8695257380604699E-2</v>
      </c>
      <c r="H8">
        <v>2.3998275632038654E-2</v>
      </c>
    </row>
    <row r="9" spans="1:8" x14ac:dyDescent="0.45">
      <c r="A9" s="4" t="s">
        <v>177</v>
      </c>
      <c r="B9">
        <v>9.9852203857152995E-3</v>
      </c>
      <c r="C9">
        <v>1.0222828248515701E-2</v>
      </c>
      <c r="D9">
        <v>1.91524922847747E-2</v>
      </c>
      <c r="E9">
        <v>2.3313682060688699E-2</v>
      </c>
      <c r="F9">
        <v>2.6145894546061699E-2</v>
      </c>
      <c r="G9">
        <v>2.5886102113872701E-2</v>
      </c>
      <c r="H9">
        <v>1.9117703273271468E-2</v>
      </c>
    </row>
    <row r="10" spans="1:8" x14ac:dyDescent="0.45">
      <c r="A10" s="4" t="s">
        <v>178</v>
      </c>
      <c r="B10">
        <v>1.08266925672069E-2</v>
      </c>
      <c r="C10">
        <v>6.1569069512188001E-3</v>
      </c>
      <c r="D10">
        <v>1.3506837422028101E-2</v>
      </c>
      <c r="E10">
        <v>2.1008328534662699E-2</v>
      </c>
      <c r="F10">
        <v>2.4166615679860101E-2</v>
      </c>
      <c r="G10">
        <v>2.4441970046609598E-2</v>
      </c>
      <c r="H10">
        <v>1.6684558533597699E-2</v>
      </c>
    </row>
    <row r="11" spans="1:8" x14ac:dyDescent="0.45">
      <c r="A11" s="4" t="s">
        <v>179</v>
      </c>
      <c r="B11">
        <v>1.18107500020414E-2</v>
      </c>
      <c r="C11">
        <v>1.8571183085441499E-2</v>
      </c>
      <c r="D11">
        <v>3.0439666472375299E-2</v>
      </c>
      <c r="E11">
        <v>2.42849076166749E-2</v>
      </c>
      <c r="F11">
        <v>3.0240188352763601E-2</v>
      </c>
      <c r="G11">
        <v>2.9350681696087101E-2</v>
      </c>
      <c r="H11">
        <v>2.4116229537563965E-2</v>
      </c>
    </row>
    <row r="12" spans="1:8" x14ac:dyDescent="0.45">
      <c r="A12" s="4" t="s">
        <v>180</v>
      </c>
      <c r="B12">
        <v>2.3551135789602901E-2</v>
      </c>
      <c r="C12">
        <v>8.8149046059696999E-3</v>
      </c>
      <c r="D12">
        <v>1.48093879688531E-2</v>
      </c>
      <c r="E12">
        <v>2.0509419031441201E-2</v>
      </c>
      <c r="F12">
        <v>2.5275783613324099E-2</v>
      </c>
      <c r="G12">
        <v>2.5614428333938101E-2</v>
      </c>
      <c r="H12">
        <v>1.9762509890521515E-2</v>
      </c>
    </row>
    <row r="13" spans="1:8" x14ac:dyDescent="0.45">
      <c r="A13" s="4" t="s">
        <v>181</v>
      </c>
      <c r="B13">
        <v>9.6281626028939995E-3</v>
      </c>
      <c r="C13">
        <v>9.3842714559286E-3</v>
      </c>
      <c r="D13">
        <v>1.5832103788852601E-2</v>
      </c>
      <c r="E13">
        <v>1.8123188987374299E-2</v>
      </c>
      <c r="F13">
        <v>2.59138904511928E-2</v>
      </c>
      <c r="G13">
        <v>2.5516316294670102E-2</v>
      </c>
      <c r="H13">
        <v>1.7399655596818733E-2</v>
      </c>
    </row>
    <row r="14" spans="1:8" x14ac:dyDescent="0.45">
      <c r="A14" s="4" t="s">
        <v>182</v>
      </c>
      <c r="B14">
        <v>9.5042251050471999E-3</v>
      </c>
      <c r="C14">
        <v>6.8992204032837998E-3</v>
      </c>
      <c r="D14">
        <v>1.4754792908206501E-2</v>
      </c>
      <c r="E14">
        <v>2.00376738794147E-2</v>
      </c>
      <c r="F14">
        <v>2.33068470843136E-2</v>
      </c>
      <c r="G14">
        <v>2.2655885200947499E-2</v>
      </c>
      <c r="H14">
        <v>1.6193107430202216E-2</v>
      </c>
    </row>
    <row r="15" spans="1:8" x14ac:dyDescent="0.45">
      <c r="A15" s="4" t="s">
        <v>183</v>
      </c>
      <c r="B15">
        <v>1.8049179110676002E-2</v>
      </c>
      <c r="C15">
        <v>1.7070799833163602E-2</v>
      </c>
      <c r="D15">
        <v>3.2187014818191501E-2</v>
      </c>
      <c r="E15">
        <v>2.3921651765704099E-2</v>
      </c>
      <c r="F15">
        <v>2.7091844007372801E-2</v>
      </c>
      <c r="G15">
        <v>2.8313199989497599E-2</v>
      </c>
      <c r="H15">
        <v>2.4438948254100933E-2</v>
      </c>
    </row>
    <row r="16" spans="1:8" x14ac:dyDescent="0.45">
      <c r="A16" s="4" t="s">
        <v>184</v>
      </c>
      <c r="B16">
        <v>1.2024930445477301E-2</v>
      </c>
      <c r="C16">
        <v>7.5628546765074004E-3</v>
      </c>
      <c r="D16">
        <v>1.40773016028106E-2</v>
      </c>
      <c r="E16">
        <v>2.3539484012871901E-2</v>
      </c>
      <c r="F16">
        <v>2.72151376120746E-2</v>
      </c>
      <c r="G16">
        <v>2.5696449447423199E-2</v>
      </c>
      <c r="H16">
        <v>1.8352692966194167E-2</v>
      </c>
    </row>
    <row r="17" spans="1:8" x14ac:dyDescent="0.45">
      <c r="A17" s="4" t="s">
        <v>185</v>
      </c>
      <c r="B17">
        <v>1.5740440857674259E-2</v>
      </c>
      <c r="C17">
        <v>1.1799003700919708E-2</v>
      </c>
      <c r="D17">
        <v>2.3148125037550881E-2</v>
      </c>
      <c r="E17">
        <v>2.2596108610741752E-2</v>
      </c>
      <c r="F17">
        <v>2.7447323314845517E-2</v>
      </c>
      <c r="G17">
        <v>2.6908950608534085E-2</v>
      </c>
      <c r="H17">
        <v>2.1273325355044368E-2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3BE7-D0AE-4AEA-990C-72DCC0AA5F1F}">
  <dimension ref="A1:I16"/>
  <sheetViews>
    <sheetView tabSelected="1" workbookViewId="0">
      <selection activeCell="B19" sqref="B19"/>
    </sheetView>
  </sheetViews>
  <sheetFormatPr defaultRowHeight="14.25" x14ac:dyDescent="0.45"/>
  <cols>
    <col min="1" max="1" width="30.59765625" customWidth="1"/>
    <col min="2" max="9" width="6.59765625" customWidth="1"/>
  </cols>
  <sheetData>
    <row r="1" spans="1:9" ht="14.65" thickBot="1" x14ac:dyDescent="0.5">
      <c r="A1" s="5"/>
      <c r="B1" s="8" t="s">
        <v>188</v>
      </c>
      <c r="C1" s="9"/>
      <c r="D1" s="9"/>
      <c r="E1" s="9"/>
      <c r="F1" s="9"/>
      <c r="G1" s="10"/>
      <c r="H1" s="6"/>
      <c r="I1" s="5"/>
    </row>
    <row r="2" spans="1:9" ht="14.65" thickBot="1" x14ac:dyDescent="0.5">
      <c r="A2" s="5"/>
      <c r="B2" s="11">
        <v>1</v>
      </c>
      <c r="C2" s="11">
        <v>2</v>
      </c>
      <c r="D2" s="11">
        <v>3</v>
      </c>
      <c r="E2" s="11">
        <v>4</v>
      </c>
      <c r="F2" s="11">
        <v>5</v>
      </c>
      <c r="G2" s="11">
        <v>6</v>
      </c>
      <c r="H2" s="5"/>
      <c r="I2" s="5" t="s">
        <v>189</v>
      </c>
    </row>
    <row r="3" spans="1:9" ht="14.65" thickBot="1" x14ac:dyDescent="0.5">
      <c r="A3" s="7" t="s">
        <v>173</v>
      </c>
      <c r="B3" s="12">
        <v>2.9551818966865501E-2</v>
      </c>
      <c r="C3" s="12">
        <v>1.15147072356194E-2</v>
      </c>
      <c r="D3" s="12">
        <v>1.8544524442404502E-2</v>
      </c>
      <c r="E3" s="12">
        <v>2.2929058875888499E-2</v>
      </c>
      <c r="F3" s="12">
        <v>2.9868676792830201E-2</v>
      </c>
      <c r="G3" s="12">
        <v>2.79145408421754E-2</v>
      </c>
      <c r="H3" s="12"/>
      <c r="I3" s="13">
        <v>2.3387221192630581E-2</v>
      </c>
    </row>
    <row r="4" spans="1:9" ht="14.65" thickBot="1" x14ac:dyDescent="0.5">
      <c r="A4" s="7" t="s">
        <v>174</v>
      </c>
      <c r="B4" s="14">
        <v>1.10540682217106E-2</v>
      </c>
      <c r="C4" s="14">
        <v>5.7228491059503998E-3</v>
      </c>
      <c r="D4" s="14">
        <v>1.6797091113403401E-2</v>
      </c>
      <c r="E4" s="14">
        <v>2.25986647419631E-2</v>
      </c>
      <c r="F4" s="14">
        <v>3.0678959563374499E-2</v>
      </c>
      <c r="G4" s="14">
        <v>2.9100990854203701E-2</v>
      </c>
      <c r="H4" s="14"/>
      <c r="I4" s="15">
        <v>1.9325437266767616E-2</v>
      </c>
    </row>
    <row r="5" spans="1:9" ht="14.65" thickBot="1" x14ac:dyDescent="0.5">
      <c r="A5" s="7" t="s">
        <v>175</v>
      </c>
      <c r="B5" s="14">
        <v>2.9737059958279102E-2</v>
      </c>
      <c r="C5" s="14">
        <v>2.1846555173396998E-2</v>
      </c>
      <c r="D5" s="14">
        <v>5.1431386731564999E-2</v>
      </c>
      <c r="E5" s="14">
        <v>2.8479755390435402E-2</v>
      </c>
      <c r="F5" s="14">
        <v>3.3805045764893203E-2</v>
      </c>
      <c r="G5" s="14">
        <v>2.9721585102379301E-2</v>
      </c>
      <c r="H5" s="14"/>
      <c r="I5" s="15">
        <v>3.2503564686824832E-2</v>
      </c>
    </row>
    <row r="6" spans="1:9" ht="14.65" thickBot="1" x14ac:dyDescent="0.5">
      <c r="A6" s="7" t="s">
        <v>176</v>
      </c>
      <c r="B6" s="16">
        <v>1.31620471365749E-2</v>
      </c>
      <c r="C6" s="16">
        <v>1.7820963636040601E-2</v>
      </c>
      <c r="D6" s="16">
        <v>3.6244900897145202E-2</v>
      </c>
      <c r="E6" s="16">
        <v>2.2407488431781499E-2</v>
      </c>
      <c r="F6" s="16">
        <v>2.5658996310084999E-2</v>
      </c>
      <c r="G6" s="16">
        <v>2.8695257380604699E-2</v>
      </c>
      <c r="H6" s="16"/>
      <c r="I6" s="17">
        <v>2.3998275632038654E-2</v>
      </c>
    </row>
    <row r="7" spans="1:9" ht="14.65" thickBot="1" x14ac:dyDescent="0.5">
      <c r="A7" s="7" t="s">
        <v>177</v>
      </c>
      <c r="B7" s="12">
        <v>9.9852203857152995E-3</v>
      </c>
      <c r="C7" s="12">
        <v>1.0222828248515701E-2</v>
      </c>
      <c r="D7" s="12">
        <v>1.91524922847747E-2</v>
      </c>
      <c r="E7" s="12">
        <v>2.3313682060688699E-2</v>
      </c>
      <c r="F7" s="12">
        <v>2.6145894546061699E-2</v>
      </c>
      <c r="G7" s="12">
        <v>2.5886102113872701E-2</v>
      </c>
      <c r="H7" s="12"/>
      <c r="I7" s="13">
        <v>1.9117703273271468E-2</v>
      </c>
    </row>
    <row r="8" spans="1:9" ht="14.65" thickBot="1" x14ac:dyDescent="0.5">
      <c r="A8" s="7" t="s">
        <v>178</v>
      </c>
      <c r="B8" s="14">
        <v>1.08266925672069E-2</v>
      </c>
      <c r="C8" s="14">
        <v>6.1569069512188001E-3</v>
      </c>
      <c r="D8" s="14">
        <v>1.3506837422028101E-2</v>
      </c>
      <c r="E8" s="14">
        <v>2.1008328534662699E-2</v>
      </c>
      <c r="F8" s="14">
        <v>2.4166615679860101E-2</v>
      </c>
      <c r="G8" s="14">
        <v>2.4441970046609598E-2</v>
      </c>
      <c r="H8" s="14"/>
      <c r="I8" s="15">
        <v>1.6684558533597699E-2</v>
      </c>
    </row>
    <row r="9" spans="1:9" ht="14.65" thickBot="1" x14ac:dyDescent="0.5">
      <c r="A9" s="7" t="s">
        <v>179</v>
      </c>
      <c r="B9" s="14">
        <v>1.18107500020414E-2</v>
      </c>
      <c r="C9" s="14">
        <v>1.8571183085441499E-2</v>
      </c>
      <c r="D9" s="14">
        <v>3.0439666472375299E-2</v>
      </c>
      <c r="E9" s="14">
        <v>2.42849076166749E-2</v>
      </c>
      <c r="F9" s="14">
        <v>3.0240188352763601E-2</v>
      </c>
      <c r="G9" s="14">
        <v>2.9350681696087101E-2</v>
      </c>
      <c r="H9" s="14"/>
      <c r="I9" s="15">
        <v>2.4116229537563965E-2</v>
      </c>
    </row>
    <row r="10" spans="1:9" ht="14.65" thickBot="1" x14ac:dyDescent="0.5">
      <c r="A10" s="7" t="s">
        <v>180</v>
      </c>
      <c r="B10" s="16">
        <v>2.3551135789602901E-2</v>
      </c>
      <c r="C10" s="16">
        <v>8.8149046059696999E-3</v>
      </c>
      <c r="D10" s="16">
        <v>1.48093879688531E-2</v>
      </c>
      <c r="E10" s="16">
        <v>2.0509419031441201E-2</v>
      </c>
      <c r="F10" s="16">
        <v>2.5275783613324099E-2</v>
      </c>
      <c r="G10" s="16">
        <v>2.5614428333938101E-2</v>
      </c>
      <c r="H10" s="16"/>
      <c r="I10" s="17">
        <v>1.9762509890521515E-2</v>
      </c>
    </row>
    <row r="11" spans="1:9" ht="14.65" thickBot="1" x14ac:dyDescent="0.5">
      <c r="A11" s="7" t="s">
        <v>181</v>
      </c>
      <c r="B11" s="12">
        <v>9.6281626028939995E-3</v>
      </c>
      <c r="C11" s="12">
        <v>9.3842714559286E-3</v>
      </c>
      <c r="D11" s="12">
        <v>1.5832103788852601E-2</v>
      </c>
      <c r="E11" s="12">
        <v>1.8123188987374299E-2</v>
      </c>
      <c r="F11" s="12">
        <v>2.59138904511928E-2</v>
      </c>
      <c r="G11" s="12">
        <v>2.5516316294670102E-2</v>
      </c>
      <c r="H11" s="12"/>
      <c r="I11" s="13">
        <v>1.7399655596818733E-2</v>
      </c>
    </row>
    <row r="12" spans="1:9" ht="14.65" thickBot="1" x14ac:dyDescent="0.5">
      <c r="A12" s="7" t="s">
        <v>182</v>
      </c>
      <c r="B12" s="14">
        <v>9.5042251050471999E-3</v>
      </c>
      <c r="C12" s="14">
        <v>6.8992204032837998E-3</v>
      </c>
      <c r="D12" s="14">
        <v>1.4754792908206501E-2</v>
      </c>
      <c r="E12" s="14">
        <v>2.00376738794147E-2</v>
      </c>
      <c r="F12" s="14">
        <v>2.33068470843136E-2</v>
      </c>
      <c r="G12" s="14">
        <v>2.2655885200947499E-2</v>
      </c>
      <c r="H12" s="14"/>
      <c r="I12" s="15">
        <v>1.6193107430202216E-2</v>
      </c>
    </row>
    <row r="13" spans="1:9" ht="14.65" thickBot="1" x14ac:dyDescent="0.5">
      <c r="A13" s="7" t="s">
        <v>183</v>
      </c>
      <c r="B13" s="14">
        <v>1.8049179110676002E-2</v>
      </c>
      <c r="C13" s="14">
        <v>1.7070799833163602E-2</v>
      </c>
      <c r="D13" s="14">
        <v>3.2187014818191501E-2</v>
      </c>
      <c r="E13" s="14">
        <v>2.3921651765704099E-2</v>
      </c>
      <c r="F13" s="14">
        <v>2.7091844007372801E-2</v>
      </c>
      <c r="G13" s="14">
        <v>2.8313199989497599E-2</v>
      </c>
      <c r="H13" s="14"/>
      <c r="I13" s="15">
        <v>2.4438948254100933E-2</v>
      </c>
    </row>
    <row r="14" spans="1:9" ht="14.65" thickBot="1" x14ac:dyDescent="0.5">
      <c r="A14" s="7" t="s">
        <v>184</v>
      </c>
      <c r="B14" s="16">
        <v>1.2024930445477301E-2</v>
      </c>
      <c r="C14" s="16">
        <v>7.5628546765074004E-3</v>
      </c>
      <c r="D14" s="16">
        <v>1.40773016028106E-2</v>
      </c>
      <c r="E14" s="16">
        <v>2.3539484012871901E-2</v>
      </c>
      <c r="F14" s="16">
        <v>2.72151376120746E-2</v>
      </c>
      <c r="G14" s="16">
        <v>2.5696449447423199E-2</v>
      </c>
      <c r="H14" s="16"/>
      <c r="I14" s="17">
        <v>1.8352692966194167E-2</v>
      </c>
    </row>
    <row r="15" spans="1:9" ht="14.65" thickBot="1" x14ac:dyDescent="0.5">
      <c r="A15" s="5"/>
      <c r="B15" s="5"/>
      <c r="C15" s="5"/>
      <c r="D15" s="5"/>
      <c r="E15" s="5"/>
      <c r="F15" s="5"/>
      <c r="G15" s="5"/>
      <c r="H15" s="5"/>
      <c r="I15" s="5"/>
    </row>
    <row r="16" spans="1:9" ht="14.65" thickBot="1" x14ac:dyDescent="0.5">
      <c r="A16" s="5" t="s">
        <v>189</v>
      </c>
      <c r="B16" s="5">
        <v>1.5740440857674259E-2</v>
      </c>
      <c r="C16" s="5">
        <v>1.1799003700919708E-2</v>
      </c>
      <c r="D16" s="5">
        <v>2.3148125037550881E-2</v>
      </c>
      <c r="E16" s="5">
        <v>2.2596108610741752E-2</v>
      </c>
      <c r="F16" s="5">
        <v>2.7447323314845517E-2</v>
      </c>
      <c r="G16" s="5">
        <v>2.6908950608534085E-2</v>
      </c>
      <c r="H16" s="5"/>
      <c r="I16" s="7">
        <v>2.1273325355044368E-2</v>
      </c>
    </row>
  </sheetData>
  <mergeCells count="1">
    <mergeCell ref="B1:G1"/>
  </mergeCells>
  <conditionalFormatting sqref="B3:B1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1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1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1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H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15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6:G1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0D9E5-8FEB-4196-A2D6-CFDFCAEBA856}">
  <dimension ref="A1:AC73"/>
  <sheetViews>
    <sheetView zoomScale="85" zoomScaleNormal="85" workbookViewId="0">
      <selection activeCell="AC73" sqref="A1:AC73"/>
    </sheetView>
  </sheetViews>
  <sheetFormatPr defaultRowHeight="14.25" x14ac:dyDescent="0.45"/>
  <sheetData>
    <row r="1" spans="1:2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169</v>
      </c>
      <c r="AB1" t="s">
        <v>170</v>
      </c>
      <c r="AC1" t="s">
        <v>171</v>
      </c>
    </row>
    <row r="2" spans="1:29" x14ac:dyDescent="0.45">
      <c r="A2" s="1">
        <v>46168</v>
      </c>
      <c r="B2" t="s">
        <v>26</v>
      </c>
      <c r="C2" t="s">
        <v>27</v>
      </c>
      <c r="D2">
        <v>2</v>
      </c>
      <c r="E2">
        <v>128</v>
      </c>
      <c r="F2" t="s">
        <v>28</v>
      </c>
      <c r="G2" t="s">
        <v>29</v>
      </c>
      <c r="H2">
        <v>32</v>
      </c>
      <c r="I2">
        <v>0</v>
      </c>
      <c r="J2" t="s">
        <v>30</v>
      </c>
      <c r="K2">
        <v>0.01</v>
      </c>
      <c r="L2" t="s">
        <v>31</v>
      </c>
      <c r="M2">
        <v>2</v>
      </c>
      <c r="N2" t="s">
        <v>28</v>
      </c>
      <c r="O2" t="s">
        <v>29</v>
      </c>
      <c r="P2">
        <v>32</v>
      </c>
      <c r="Q2">
        <v>128</v>
      </c>
      <c r="R2">
        <v>0</v>
      </c>
      <c r="S2">
        <v>1472</v>
      </c>
      <c r="T2">
        <v>43</v>
      </c>
      <c r="U2">
        <v>5.7228491059503998E-3</v>
      </c>
      <c r="V2">
        <v>2.8917975723743001E-3</v>
      </c>
      <c r="W2">
        <v>9.4368384452530002E-4</v>
      </c>
      <c r="X2">
        <v>2.8900424691124002E-3</v>
      </c>
      <c r="Y2" s="2">
        <v>74.884439999999998</v>
      </c>
      <c r="Z2">
        <v>2.8900424691124002E-3</v>
      </c>
      <c r="AA2" t="str">
        <f>IF(N2="False","Off","On")</f>
        <v>Off</v>
      </c>
      <c r="AB2" t="str">
        <f>IF(O2="False","Off","On")</f>
        <v>On</v>
      </c>
      <c r="AC2" t="str">
        <f>_xlfn.CONCAT(P$1,"=",P2,"+",AA$1,AA2,"+",AB$1,AB2)</f>
        <v>hidden_size=32+i_att_Off+t_att_On</v>
      </c>
    </row>
    <row r="3" spans="1:29" x14ac:dyDescent="0.45">
      <c r="A3" s="1">
        <v>46168</v>
      </c>
      <c r="B3" t="s">
        <v>26</v>
      </c>
      <c r="C3" t="s">
        <v>32</v>
      </c>
      <c r="D3">
        <v>2</v>
      </c>
      <c r="E3">
        <v>128</v>
      </c>
      <c r="F3" t="s">
        <v>28</v>
      </c>
      <c r="G3" t="s">
        <v>29</v>
      </c>
      <c r="H3">
        <v>48</v>
      </c>
      <c r="I3">
        <v>0</v>
      </c>
      <c r="J3" t="s">
        <v>30</v>
      </c>
      <c r="K3">
        <v>0.01</v>
      </c>
      <c r="L3" t="s">
        <v>31</v>
      </c>
      <c r="M3">
        <v>2</v>
      </c>
      <c r="N3" t="s">
        <v>28</v>
      </c>
      <c r="O3" t="s">
        <v>29</v>
      </c>
      <c r="P3">
        <v>48</v>
      </c>
      <c r="Q3">
        <v>128</v>
      </c>
      <c r="R3">
        <v>0</v>
      </c>
      <c r="S3">
        <v>1472</v>
      </c>
      <c r="T3">
        <v>43</v>
      </c>
      <c r="U3">
        <v>6.1569069512188001E-3</v>
      </c>
      <c r="V3">
        <v>2.6637837290763001E-3</v>
      </c>
      <c r="W3">
        <v>1.1643744073808E-3</v>
      </c>
      <c r="X3">
        <v>2.6594597018427001E-3</v>
      </c>
      <c r="Y3" t="s">
        <v>33</v>
      </c>
      <c r="Z3">
        <v>2.6594597018427001E-3</v>
      </c>
      <c r="AA3" t="str">
        <f t="shared" ref="AA3:AA66" si="0">IF(N3="False","Off","On")</f>
        <v>Off</v>
      </c>
      <c r="AB3" t="str">
        <f t="shared" ref="AB3:AB66" si="1">IF(O3="False","Off","On")</f>
        <v>On</v>
      </c>
      <c r="AC3" t="str">
        <f t="shared" ref="AC3:AC66" si="2">_xlfn.CONCAT(P$1,"=",P3,"+",AA$1,AA3,"+",AB$1,AB3)</f>
        <v>hidden_size=48+i_att_Off+t_att_On</v>
      </c>
    </row>
    <row r="4" spans="1:29" x14ac:dyDescent="0.45">
      <c r="A4" s="1">
        <v>46168</v>
      </c>
      <c r="B4" t="s">
        <v>26</v>
      </c>
      <c r="C4" t="s">
        <v>34</v>
      </c>
      <c r="D4">
        <v>2</v>
      </c>
      <c r="E4">
        <v>128</v>
      </c>
      <c r="F4" t="s">
        <v>28</v>
      </c>
      <c r="G4" t="s">
        <v>29</v>
      </c>
      <c r="H4">
        <v>64</v>
      </c>
      <c r="I4">
        <v>0</v>
      </c>
      <c r="J4" t="s">
        <v>30</v>
      </c>
      <c r="K4">
        <v>0.01</v>
      </c>
      <c r="L4" t="s">
        <v>31</v>
      </c>
      <c r="M4">
        <v>2</v>
      </c>
      <c r="N4" t="s">
        <v>28</v>
      </c>
      <c r="O4" t="s">
        <v>29</v>
      </c>
      <c r="P4">
        <v>64</v>
      </c>
      <c r="Q4">
        <v>128</v>
      </c>
      <c r="R4">
        <v>0</v>
      </c>
      <c r="S4">
        <v>1504</v>
      </c>
      <c r="T4">
        <v>43</v>
      </c>
      <c r="U4">
        <v>6.8992204032837998E-3</v>
      </c>
      <c r="V4">
        <v>2.8163737151770999E-3</v>
      </c>
      <c r="W4">
        <v>1.3609488960355E-3</v>
      </c>
      <c r="X4">
        <v>2.8118551191356001E-3</v>
      </c>
      <c r="Y4" t="s">
        <v>35</v>
      </c>
      <c r="Z4">
        <v>2.8118551191356001E-3</v>
      </c>
      <c r="AA4" t="str">
        <f t="shared" si="0"/>
        <v>Off</v>
      </c>
      <c r="AB4" t="str">
        <f t="shared" si="1"/>
        <v>On</v>
      </c>
      <c r="AC4" t="str">
        <f t="shared" si="2"/>
        <v>hidden_size=64+i_att_Off+t_att_On</v>
      </c>
    </row>
    <row r="5" spans="1:29" x14ac:dyDescent="0.45">
      <c r="A5" s="1">
        <v>46168</v>
      </c>
      <c r="B5" t="s">
        <v>26</v>
      </c>
      <c r="C5" t="s">
        <v>36</v>
      </c>
      <c r="D5">
        <v>2</v>
      </c>
      <c r="E5">
        <v>128</v>
      </c>
      <c r="F5" t="s">
        <v>29</v>
      </c>
      <c r="G5" t="s">
        <v>29</v>
      </c>
      <c r="H5">
        <v>64</v>
      </c>
      <c r="I5">
        <v>0</v>
      </c>
      <c r="J5" t="s">
        <v>30</v>
      </c>
      <c r="K5">
        <v>0.01</v>
      </c>
      <c r="L5" t="s">
        <v>31</v>
      </c>
      <c r="M5">
        <v>2</v>
      </c>
      <c r="N5" t="s">
        <v>29</v>
      </c>
      <c r="O5" t="s">
        <v>29</v>
      </c>
      <c r="P5">
        <v>64</v>
      </c>
      <c r="Q5">
        <v>128</v>
      </c>
      <c r="R5">
        <v>0</v>
      </c>
      <c r="S5">
        <v>1492</v>
      </c>
      <c r="T5">
        <v>43</v>
      </c>
      <c r="U5">
        <v>7.5628546765074004E-3</v>
      </c>
      <c r="V5">
        <v>3.3652489073574001E-3</v>
      </c>
      <c r="W5">
        <v>1.3992019230499001E-3</v>
      </c>
      <c r="X5">
        <v>3.3634417535115999E-3</v>
      </c>
      <c r="Y5" t="s">
        <v>37</v>
      </c>
      <c r="Z5">
        <v>3.3634417535115999E-3</v>
      </c>
      <c r="AA5" t="str">
        <f t="shared" si="0"/>
        <v>On</v>
      </c>
      <c r="AB5" t="str">
        <f t="shared" si="1"/>
        <v>On</v>
      </c>
      <c r="AC5" t="str">
        <f t="shared" si="2"/>
        <v>hidden_size=64+i_att_On+t_att_On</v>
      </c>
    </row>
    <row r="6" spans="1:29" x14ac:dyDescent="0.45">
      <c r="A6" s="1">
        <v>46168</v>
      </c>
      <c r="B6" t="s">
        <v>26</v>
      </c>
      <c r="C6" t="s">
        <v>38</v>
      </c>
      <c r="D6">
        <v>2</v>
      </c>
      <c r="E6">
        <v>128</v>
      </c>
      <c r="F6" t="s">
        <v>29</v>
      </c>
      <c r="G6" t="s">
        <v>29</v>
      </c>
      <c r="H6">
        <v>48</v>
      </c>
      <c r="I6">
        <v>0</v>
      </c>
      <c r="J6" t="s">
        <v>30</v>
      </c>
      <c r="K6">
        <v>0.01</v>
      </c>
      <c r="L6" t="s">
        <v>31</v>
      </c>
      <c r="M6">
        <v>2</v>
      </c>
      <c r="N6" t="s">
        <v>29</v>
      </c>
      <c r="O6" t="s">
        <v>29</v>
      </c>
      <c r="P6">
        <v>48</v>
      </c>
      <c r="Q6">
        <v>128</v>
      </c>
      <c r="R6">
        <v>0</v>
      </c>
      <c r="S6">
        <v>1456</v>
      </c>
      <c r="T6">
        <v>42</v>
      </c>
      <c r="U6">
        <v>8.8149046059696999E-3</v>
      </c>
      <c r="V6">
        <v>3.3647117670625002E-3</v>
      </c>
      <c r="W6">
        <v>1.8167309463024001E-3</v>
      </c>
      <c r="X6">
        <v>3.3609469990349E-3</v>
      </c>
      <c r="Y6" t="s">
        <v>39</v>
      </c>
      <c r="Z6">
        <v>3.3609469990349E-3</v>
      </c>
      <c r="AA6" t="str">
        <f t="shared" si="0"/>
        <v>On</v>
      </c>
      <c r="AB6" t="str">
        <f t="shared" si="1"/>
        <v>On</v>
      </c>
      <c r="AC6" t="str">
        <f t="shared" si="2"/>
        <v>hidden_size=48+i_att_On+t_att_On</v>
      </c>
    </row>
    <row r="7" spans="1:29" x14ac:dyDescent="0.45">
      <c r="A7" s="1">
        <v>46168</v>
      </c>
      <c r="B7" t="s">
        <v>26</v>
      </c>
      <c r="C7" t="s">
        <v>40</v>
      </c>
      <c r="D7">
        <v>2</v>
      </c>
      <c r="E7">
        <v>128</v>
      </c>
      <c r="F7" t="s">
        <v>28</v>
      </c>
      <c r="G7" t="s">
        <v>28</v>
      </c>
      <c r="H7">
        <v>64</v>
      </c>
      <c r="I7">
        <v>0</v>
      </c>
      <c r="J7" t="s">
        <v>30</v>
      </c>
      <c r="K7">
        <v>0.01</v>
      </c>
      <c r="L7" t="s">
        <v>31</v>
      </c>
      <c r="M7">
        <v>2</v>
      </c>
      <c r="N7" t="s">
        <v>28</v>
      </c>
      <c r="O7" t="s">
        <v>28</v>
      </c>
      <c r="P7">
        <v>64</v>
      </c>
      <c r="Q7">
        <v>128</v>
      </c>
      <c r="R7">
        <v>0</v>
      </c>
      <c r="S7">
        <v>1496</v>
      </c>
      <c r="T7">
        <v>43</v>
      </c>
      <c r="U7">
        <v>9.3842714559286E-3</v>
      </c>
      <c r="V7">
        <v>2.9876038897782E-3</v>
      </c>
      <c r="W7">
        <v>2.1322225220500998E-3</v>
      </c>
      <c r="X7">
        <v>2.9793236301177001E-3</v>
      </c>
      <c r="Y7" t="s">
        <v>41</v>
      </c>
      <c r="Z7">
        <v>2.9793236301177001E-3</v>
      </c>
      <c r="AA7" t="str">
        <f t="shared" si="0"/>
        <v>Off</v>
      </c>
      <c r="AB7" t="str">
        <f t="shared" si="1"/>
        <v>Off</v>
      </c>
      <c r="AC7" t="str">
        <f t="shared" si="2"/>
        <v>hidden_size=64+i_att_Off+t_att_Off</v>
      </c>
    </row>
    <row r="8" spans="1:29" x14ac:dyDescent="0.45">
      <c r="A8" s="1">
        <v>46168</v>
      </c>
      <c r="B8" t="s">
        <v>26</v>
      </c>
      <c r="C8" t="s">
        <v>42</v>
      </c>
      <c r="D8">
        <v>1</v>
      </c>
      <c r="E8">
        <v>128</v>
      </c>
      <c r="F8" t="s">
        <v>28</v>
      </c>
      <c r="G8" t="s">
        <v>29</v>
      </c>
      <c r="H8">
        <v>64</v>
      </c>
      <c r="I8">
        <v>0</v>
      </c>
      <c r="J8" t="s">
        <v>30</v>
      </c>
      <c r="K8">
        <v>0.01</v>
      </c>
      <c r="L8" t="s">
        <v>31</v>
      </c>
      <c r="M8">
        <v>1</v>
      </c>
      <c r="N8" t="s">
        <v>28</v>
      </c>
      <c r="O8" t="s">
        <v>29</v>
      </c>
      <c r="P8">
        <v>64</v>
      </c>
      <c r="Q8">
        <v>128</v>
      </c>
      <c r="R8">
        <v>0</v>
      </c>
      <c r="S8">
        <v>1452</v>
      </c>
      <c r="T8">
        <v>42</v>
      </c>
      <c r="U8">
        <v>9.5042251050471999E-3</v>
      </c>
      <c r="V8">
        <v>5.0512705929577004E-3</v>
      </c>
      <c r="W8">
        <v>1.4843181706964E-3</v>
      </c>
      <c r="X8">
        <v>5.0500922629401999E-3</v>
      </c>
      <c r="Y8" t="s">
        <v>43</v>
      </c>
      <c r="Z8">
        <v>5.0500922629401999E-3</v>
      </c>
      <c r="AA8" t="str">
        <f t="shared" si="0"/>
        <v>Off</v>
      </c>
      <c r="AB8" t="str">
        <f t="shared" si="1"/>
        <v>On</v>
      </c>
      <c r="AC8" t="str">
        <f t="shared" si="2"/>
        <v>hidden_size=64+i_att_Off+t_att_On</v>
      </c>
    </row>
    <row r="9" spans="1:29" x14ac:dyDescent="0.45">
      <c r="A9" s="1">
        <v>46168</v>
      </c>
      <c r="B9" t="s">
        <v>26</v>
      </c>
      <c r="C9" t="s">
        <v>44</v>
      </c>
      <c r="D9">
        <v>1</v>
      </c>
      <c r="E9">
        <v>128</v>
      </c>
      <c r="F9" t="s">
        <v>28</v>
      </c>
      <c r="G9" t="s">
        <v>28</v>
      </c>
      <c r="H9">
        <v>64</v>
      </c>
      <c r="I9">
        <v>0</v>
      </c>
      <c r="J9" t="s">
        <v>30</v>
      </c>
      <c r="K9">
        <v>0.01</v>
      </c>
      <c r="L9" t="s">
        <v>31</v>
      </c>
      <c r="M9">
        <v>1</v>
      </c>
      <c r="N9" t="s">
        <v>28</v>
      </c>
      <c r="O9" t="s">
        <v>28</v>
      </c>
      <c r="P9">
        <v>64</v>
      </c>
      <c r="Q9">
        <v>128</v>
      </c>
      <c r="R9">
        <v>0</v>
      </c>
      <c r="S9">
        <v>1308</v>
      </c>
      <c r="T9">
        <v>38</v>
      </c>
      <c r="U9">
        <v>9.6281626028939995E-3</v>
      </c>
      <c r="V9">
        <v>5.1621780730783003E-3</v>
      </c>
      <c r="W9">
        <v>1.4886615099384999E-3</v>
      </c>
      <c r="X9">
        <v>5.1596240761378996E-3</v>
      </c>
      <c r="Y9" t="s">
        <v>45</v>
      </c>
      <c r="Z9">
        <v>5.1596240761378996E-3</v>
      </c>
      <c r="AA9" t="str">
        <f t="shared" si="0"/>
        <v>Off</v>
      </c>
      <c r="AB9" t="str">
        <f t="shared" si="1"/>
        <v>Off</v>
      </c>
      <c r="AC9" t="str">
        <f t="shared" si="2"/>
        <v>hidden_size=64+i_att_Off+t_att_Off</v>
      </c>
    </row>
    <row r="10" spans="1:29" x14ac:dyDescent="0.45">
      <c r="A10" s="1">
        <v>46168</v>
      </c>
      <c r="B10" t="s">
        <v>26</v>
      </c>
      <c r="C10" t="s">
        <v>46</v>
      </c>
      <c r="D10">
        <v>1</v>
      </c>
      <c r="E10">
        <v>128</v>
      </c>
      <c r="F10" t="s">
        <v>28</v>
      </c>
      <c r="G10" t="s">
        <v>28</v>
      </c>
      <c r="H10">
        <v>48</v>
      </c>
      <c r="I10">
        <v>0</v>
      </c>
      <c r="J10" t="s">
        <v>30</v>
      </c>
      <c r="K10">
        <v>0.01</v>
      </c>
      <c r="L10" t="s">
        <v>31</v>
      </c>
      <c r="M10">
        <v>1</v>
      </c>
      <c r="N10" t="s">
        <v>28</v>
      </c>
      <c r="O10" t="s">
        <v>28</v>
      </c>
      <c r="P10">
        <v>48</v>
      </c>
      <c r="Q10">
        <v>128</v>
      </c>
      <c r="R10">
        <v>0</v>
      </c>
      <c r="S10">
        <v>1472</v>
      </c>
      <c r="T10">
        <v>43</v>
      </c>
      <c r="U10">
        <v>9.9852203857152995E-3</v>
      </c>
      <c r="V10">
        <v>5.4311039857566001E-3</v>
      </c>
      <c r="W10">
        <v>1.5180387999862001E-3</v>
      </c>
      <c r="X10">
        <v>5.4287162816357998E-3</v>
      </c>
      <c r="Y10" t="s">
        <v>47</v>
      </c>
      <c r="Z10">
        <v>5.4287162816357998E-3</v>
      </c>
      <c r="AA10" t="str">
        <f t="shared" si="0"/>
        <v>Off</v>
      </c>
      <c r="AB10" t="str">
        <f t="shared" si="1"/>
        <v>Off</v>
      </c>
      <c r="AC10" t="str">
        <f t="shared" si="2"/>
        <v>hidden_size=48+i_att_Off+t_att_Off</v>
      </c>
    </row>
    <row r="11" spans="1:29" x14ac:dyDescent="0.45">
      <c r="A11" s="1">
        <v>46168</v>
      </c>
      <c r="B11" t="s">
        <v>26</v>
      </c>
      <c r="C11" t="s">
        <v>48</v>
      </c>
      <c r="D11">
        <v>2</v>
      </c>
      <c r="E11">
        <v>128</v>
      </c>
      <c r="F11" t="s">
        <v>28</v>
      </c>
      <c r="G11" t="s">
        <v>28</v>
      </c>
      <c r="H11">
        <v>48</v>
      </c>
      <c r="I11">
        <v>0</v>
      </c>
      <c r="J11" t="s">
        <v>30</v>
      </c>
      <c r="K11">
        <v>0.01</v>
      </c>
      <c r="L11" t="s">
        <v>31</v>
      </c>
      <c r="M11">
        <v>2</v>
      </c>
      <c r="N11" t="s">
        <v>28</v>
      </c>
      <c r="O11" t="s">
        <v>28</v>
      </c>
      <c r="P11">
        <v>48</v>
      </c>
      <c r="Q11">
        <v>128</v>
      </c>
      <c r="R11">
        <v>0</v>
      </c>
      <c r="S11">
        <v>1468</v>
      </c>
      <c r="T11">
        <v>42</v>
      </c>
      <c r="U11">
        <v>1.0222828248515701E-2</v>
      </c>
      <c r="V11">
        <v>3.6212420091032002E-3</v>
      </c>
      <c r="W11">
        <v>2.2005287464707999E-3</v>
      </c>
      <c r="X11">
        <v>3.6157853125284001E-3</v>
      </c>
      <c r="Y11" t="s">
        <v>49</v>
      </c>
      <c r="Z11">
        <v>3.6157853125284001E-3</v>
      </c>
      <c r="AA11" t="str">
        <f t="shared" si="0"/>
        <v>Off</v>
      </c>
      <c r="AB11" t="str">
        <f t="shared" si="1"/>
        <v>Off</v>
      </c>
      <c r="AC11" t="str">
        <f t="shared" si="2"/>
        <v>hidden_size=48+i_att_Off+t_att_Off</v>
      </c>
    </row>
    <row r="12" spans="1:29" x14ac:dyDescent="0.45">
      <c r="A12" s="1">
        <v>46168</v>
      </c>
      <c r="B12" t="s">
        <v>26</v>
      </c>
      <c r="C12" t="s">
        <v>50</v>
      </c>
      <c r="D12">
        <v>1</v>
      </c>
      <c r="E12">
        <v>128</v>
      </c>
      <c r="F12" t="s">
        <v>28</v>
      </c>
      <c r="G12" t="s">
        <v>29</v>
      </c>
      <c r="H12">
        <v>48</v>
      </c>
      <c r="I12">
        <v>0</v>
      </c>
      <c r="J12" t="s">
        <v>30</v>
      </c>
      <c r="K12">
        <v>0.01</v>
      </c>
      <c r="L12" t="s">
        <v>31</v>
      </c>
      <c r="M12">
        <v>1</v>
      </c>
      <c r="N12" t="s">
        <v>28</v>
      </c>
      <c r="O12" t="s">
        <v>29</v>
      </c>
      <c r="P12">
        <v>48</v>
      </c>
      <c r="Q12">
        <v>128</v>
      </c>
      <c r="R12">
        <v>0</v>
      </c>
      <c r="S12">
        <v>1472</v>
      </c>
      <c r="T12">
        <v>43</v>
      </c>
      <c r="U12">
        <v>1.08266925672069E-2</v>
      </c>
      <c r="V12">
        <v>5.2626417018473001E-3</v>
      </c>
      <c r="W12">
        <v>1.8546836217865001E-3</v>
      </c>
      <c r="X12">
        <v>5.2622386978732E-3</v>
      </c>
      <c r="Y12" s="2">
        <v>70.585859999999997</v>
      </c>
      <c r="Z12">
        <v>5.2622386978732E-3</v>
      </c>
      <c r="AA12" t="str">
        <f t="shared" si="0"/>
        <v>Off</v>
      </c>
      <c r="AB12" t="str">
        <f t="shared" si="1"/>
        <v>On</v>
      </c>
      <c r="AC12" t="str">
        <f t="shared" si="2"/>
        <v>hidden_size=48+i_att_Off+t_att_On</v>
      </c>
    </row>
    <row r="13" spans="1:29" x14ac:dyDescent="0.45">
      <c r="A13" s="1">
        <v>46168</v>
      </c>
      <c r="B13" t="s">
        <v>26</v>
      </c>
      <c r="C13" t="s">
        <v>51</v>
      </c>
      <c r="D13">
        <v>1</v>
      </c>
      <c r="E13">
        <v>128</v>
      </c>
      <c r="F13" t="s">
        <v>28</v>
      </c>
      <c r="G13" t="s">
        <v>29</v>
      </c>
      <c r="H13">
        <v>32</v>
      </c>
      <c r="I13">
        <v>0</v>
      </c>
      <c r="J13" t="s">
        <v>30</v>
      </c>
      <c r="K13">
        <v>0.01</v>
      </c>
      <c r="L13" t="s">
        <v>31</v>
      </c>
      <c r="M13">
        <v>1</v>
      </c>
      <c r="N13" t="s">
        <v>28</v>
      </c>
      <c r="O13" t="s">
        <v>29</v>
      </c>
      <c r="P13">
        <v>32</v>
      </c>
      <c r="Q13">
        <v>128</v>
      </c>
      <c r="R13">
        <v>0</v>
      </c>
      <c r="S13">
        <v>1424</v>
      </c>
      <c r="T13">
        <v>41</v>
      </c>
      <c r="U13">
        <v>1.10540682217106E-2</v>
      </c>
      <c r="V13">
        <v>5.2371402271091001E-3</v>
      </c>
      <c r="W13">
        <v>1.9389759982004001E-3</v>
      </c>
      <c r="X13">
        <v>5.2349470141861004E-3</v>
      </c>
      <c r="Y13" t="s">
        <v>52</v>
      </c>
      <c r="Z13">
        <v>5.2349470141861004E-3</v>
      </c>
      <c r="AA13" t="str">
        <f t="shared" si="0"/>
        <v>Off</v>
      </c>
      <c r="AB13" t="str">
        <f t="shared" si="1"/>
        <v>On</v>
      </c>
      <c r="AC13" t="str">
        <f t="shared" si="2"/>
        <v>hidden_size=32+i_att_Off+t_att_On</v>
      </c>
    </row>
    <row r="14" spans="1:29" x14ac:dyDescent="0.45">
      <c r="A14" s="1">
        <v>46168</v>
      </c>
      <c r="B14" t="s">
        <v>26</v>
      </c>
      <c r="C14" t="s">
        <v>53</v>
      </c>
      <c r="D14">
        <v>2</v>
      </c>
      <c r="E14">
        <v>128</v>
      </c>
      <c r="F14" t="s">
        <v>28</v>
      </c>
      <c r="G14" t="s">
        <v>28</v>
      </c>
      <c r="H14">
        <v>32</v>
      </c>
      <c r="I14">
        <v>0</v>
      </c>
      <c r="J14" t="s">
        <v>30</v>
      </c>
      <c r="K14">
        <v>0.01</v>
      </c>
      <c r="L14" t="s">
        <v>31</v>
      </c>
      <c r="M14">
        <v>2</v>
      </c>
      <c r="N14" t="s">
        <v>28</v>
      </c>
      <c r="O14" t="s">
        <v>28</v>
      </c>
      <c r="P14">
        <v>32</v>
      </c>
      <c r="Q14">
        <v>128</v>
      </c>
      <c r="R14">
        <v>0</v>
      </c>
      <c r="S14">
        <v>1148</v>
      </c>
      <c r="T14">
        <v>33</v>
      </c>
      <c r="U14">
        <v>1.15147072356194E-2</v>
      </c>
      <c r="V14">
        <v>3.9629889652131999E-3</v>
      </c>
      <c r="W14">
        <v>2.5172394234686999E-3</v>
      </c>
      <c r="X14">
        <v>3.9578090525334998E-3</v>
      </c>
      <c r="Y14" t="s">
        <v>54</v>
      </c>
      <c r="Z14">
        <v>3.9578090525334998E-3</v>
      </c>
      <c r="AA14" t="str">
        <f t="shared" si="0"/>
        <v>Off</v>
      </c>
      <c r="AB14" t="str">
        <f t="shared" si="1"/>
        <v>Off</v>
      </c>
      <c r="AC14" t="str">
        <f t="shared" si="2"/>
        <v>hidden_size=32+i_att_Off+t_att_Off</v>
      </c>
    </row>
    <row r="15" spans="1:29" x14ac:dyDescent="0.45">
      <c r="A15" s="1">
        <v>46168</v>
      </c>
      <c r="B15" t="s">
        <v>26</v>
      </c>
      <c r="C15" t="s">
        <v>55</v>
      </c>
      <c r="D15">
        <v>1</v>
      </c>
      <c r="E15">
        <v>128</v>
      </c>
      <c r="F15" t="s">
        <v>29</v>
      </c>
      <c r="G15" t="s">
        <v>28</v>
      </c>
      <c r="H15">
        <v>48</v>
      </c>
      <c r="I15">
        <v>0</v>
      </c>
      <c r="J15" t="s">
        <v>30</v>
      </c>
      <c r="K15">
        <v>0.01</v>
      </c>
      <c r="L15" t="s">
        <v>31</v>
      </c>
      <c r="M15">
        <v>1</v>
      </c>
      <c r="N15" t="s">
        <v>29</v>
      </c>
      <c r="O15" t="s">
        <v>28</v>
      </c>
      <c r="P15">
        <v>48</v>
      </c>
      <c r="Q15">
        <v>128</v>
      </c>
      <c r="R15">
        <v>0</v>
      </c>
      <c r="S15">
        <v>1420</v>
      </c>
      <c r="T15">
        <v>41</v>
      </c>
      <c r="U15">
        <v>1.18107500020414E-2</v>
      </c>
      <c r="V15">
        <v>5.8745415881276001E-3</v>
      </c>
      <c r="W15">
        <v>1.9787361379712E-3</v>
      </c>
      <c r="X15">
        <v>5.8717198359469003E-3</v>
      </c>
      <c r="Y15" t="s">
        <v>56</v>
      </c>
      <c r="Z15">
        <v>5.8717198359469003E-3</v>
      </c>
      <c r="AA15" t="str">
        <f t="shared" si="0"/>
        <v>On</v>
      </c>
      <c r="AB15" t="str">
        <f t="shared" si="1"/>
        <v>Off</v>
      </c>
      <c r="AC15" t="str">
        <f t="shared" si="2"/>
        <v>hidden_size=48+i_att_On+t_att_Off</v>
      </c>
    </row>
    <row r="16" spans="1:29" x14ac:dyDescent="0.45">
      <c r="A16" s="1">
        <v>46168</v>
      </c>
      <c r="B16" t="s">
        <v>26</v>
      </c>
      <c r="C16" t="s">
        <v>57</v>
      </c>
      <c r="D16">
        <v>1</v>
      </c>
      <c r="E16">
        <v>128</v>
      </c>
      <c r="F16" t="s">
        <v>29</v>
      </c>
      <c r="G16" t="s">
        <v>29</v>
      </c>
      <c r="H16">
        <v>64</v>
      </c>
      <c r="I16">
        <v>0</v>
      </c>
      <c r="J16" t="s">
        <v>30</v>
      </c>
      <c r="K16">
        <v>0.01</v>
      </c>
      <c r="L16" t="s">
        <v>31</v>
      </c>
      <c r="M16">
        <v>1</v>
      </c>
      <c r="N16" t="s">
        <v>29</v>
      </c>
      <c r="O16" t="s">
        <v>29</v>
      </c>
      <c r="P16">
        <v>64</v>
      </c>
      <c r="Q16">
        <v>128</v>
      </c>
      <c r="R16">
        <v>0</v>
      </c>
      <c r="S16">
        <v>1436</v>
      </c>
      <c r="T16">
        <v>42</v>
      </c>
      <c r="U16">
        <v>1.2024930445477301E-2</v>
      </c>
      <c r="V16">
        <v>5.8358414098619998E-3</v>
      </c>
      <c r="W16">
        <v>2.0630296785384E-3</v>
      </c>
      <c r="X16">
        <v>5.8334419089885996E-3</v>
      </c>
      <c r="Y16" t="s">
        <v>58</v>
      </c>
      <c r="Z16">
        <v>5.8334419089885996E-3</v>
      </c>
      <c r="AA16" t="str">
        <f t="shared" si="0"/>
        <v>On</v>
      </c>
      <c r="AB16" t="str">
        <f t="shared" si="1"/>
        <v>On</v>
      </c>
      <c r="AC16" t="str">
        <f t="shared" si="2"/>
        <v>hidden_size=64+i_att_On+t_att_On</v>
      </c>
    </row>
    <row r="17" spans="1:29" x14ac:dyDescent="0.45">
      <c r="A17" s="1">
        <v>46168</v>
      </c>
      <c r="B17" t="s">
        <v>26</v>
      </c>
      <c r="C17" t="s">
        <v>59</v>
      </c>
      <c r="D17">
        <v>1</v>
      </c>
      <c r="E17">
        <v>128</v>
      </c>
      <c r="F17" t="s">
        <v>29</v>
      </c>
      <c r="G17" t="s">
        <v>29</v>
      </c>
      <c r="H17">
        <v>32</v>
      </c>
      <c r="I17">
        <v>0</v>
      </c>
      <c r="J17" t="s">
        <v>30</v>
      </c>
      <c r="K17">
        <v>0.01</v>
      </c>
      <c r="L17" t="s">
        <v>31</v>
      </c>
      <c r="M17">
        <v>1</v>
      </c>
      <c r="N17" t="s">
        <v>29</v>
      </c>
      <c r="O17" t="s">
        <v>29</v>
      </c>
      <c r="P17">
        <v>32</v>
      </c>
      <c r="Q17">
        <v>128</v>
      </c>
      <c r="R17">
        <v>0</v>
      </c>
      <c r="S17">
        <v>1476</v>
      </c>
      <c r="T17">
        <v>43</v>
      </c>
      <c r="U17">
        <v>1.31620471365749E-2</v>
      </c>
      <c r="V17">
        <v>6.0883956030011004E-3</v>
      </c>
      <c r="W17">
        <v>2.3578838445245998E-3</v>
      </c>
      <c r="X17">
        <v>6.0904109850524997E-3</v>
      </c>
      <c r="Y17" t="s">
        <v>60</v>
      </c>
      <c r="Z17">
        <v>6.0904109850524997E-3</v>
      </c>
      <c r="AA17" t="str">
        <f t="shared" si="0"/>
        <v>On</v>
      </c>
      <c r="AB17" t="str">
        <f t="shared" si="1"/>
        <v>On</v>
      </c>
      <c r="AC17" t="str">
        <f t="shared" si="2"/>
        <v>hidden_size=32+i_att_On+t_att_On</v>
      </c>
    </row>
    <row r="18" spans="1:29" x14ac:dyDescent="0.45">
      <c r="A18" s="1">
        <v>46168</v>
      </c>
      <c r="B18" t="s">
        <v>61</v>
      </c>
      <c r="C18" t="s">
        <v>62</v>
      </c>
      <c r="D18">
        <v>3</v>
      </c>
      <c r="E18">
        <v>128</v>
      </c>
      <c r="F18" t="s">
        <v>28</v>
      </c>
      <c r="G18" t="s">
        <v>29</v>
      </c>
      <c r="H18">
        <v>48</v>
      </c>
      <c r="I18">
        <v>0</v>
      </c>
      <c r="J18" t="s">
        <v>30</v>
      </c>
      <c r="K18">
        <v>0.01</v>
      </c>
      <c r="L18" t="s">
        <v>31</v>
      </c>
      <c r="M18">
        <v>3</v>
      </c>
      <c r="N18" t="s">
        <v>28</v>
      </c>
      <c r="O18" t="s">
        <v>29</v>
      </c>
      <c r="P18">
        <v>48</v>
      </c>
      <c r="Q18">
        <v>128</v>
      </c>
      <c r="R18">
        <v>0</v>
      </c>
      <c r="S18">
        <v>1452</v>
      </c>
      <c r="T18">
        <v>42</v>
      </c>
      <c r="U18">
        <v>1.3506837422028101E-2</v>
      </c>
      <c r="V18">
        <v>5.7635018602012998E-3</v>
      </c>
      <c r="W18">
        <v>2.5811118539422E-3</v>
      </c>
      <c r="X18">
        <v>5.7558804336521E-3</v>
      </c>
      <c r="Y18" s="2">
        <v>-349.79471999999998</v>
      </c>
      <c r="Z18">
        <v>5.7558804336521E-3</v>
      </c>
      <c r="AA18" t="str">
        <f t="shared" si="0"/>
        <v>Off</v>
      </c>
      <c r="AB18" t="str">
        <f t="shared" si="1"/>
        <v>On</v>
      </c>
      <c r="AC18" t="str">
        <f t="shared" si="2"/>
        <v>hidden_size=48+i_att_Off+t_att_On</v>
      </c>
    </row>
    <row r="19" spans="1:29" x14ac:dyDescent="0.45">
      <c r="A19" s="1">
        <v>46168</v>
      </c>
      <c r="B19" t="s">
        <v>61</v>
      </c>
      <c r="C19" t="s">
        <v>63</v>
      </c>
      <c r="D19">
        <v>3</v>
      </c>
      <c r="E19">
        <v>128</v>
      </c>
      <c r="F19" t="s">
        <v>29</v>
      </c>
      <c r="G19" t="s">
        <v>29</v>
      </c>
      <c r="H19">
        <v>64</v>
      </c>
      <c r="I19">
        <v>0</v>
      </c>
      <c r="J19" t="s">
        <v>30</v>
      </c>
      <c r="K19">
        <v>0.01</v>
      </c>
      <c r="L19" t="s">
        <v>31</v>
      </c>
      <c r="M19">
        <v>3</v>
      </c>
      <c r="N19" t="s">
        <v>29</v>
      </c>
      <c r="O19" t="s">
        <v>29</v>
      </c>
      <c r="P19">
        <v>64</v>
      </c>
      <c r="Q19">
        <v>128</v>
      </c>
      <c r="R19">
        <v>0</v>
      </c>
      <c r="S19">
        <v>1320</v>
      </c>
      <c r="T19">
        <v>38</v>
      </c>
      <c r="U19">
        <v>1.40773016028106E-2</v>
      </c>
      <c r="V19">
        <v>6.4707607962191001E-3</v>
      </c>
      <c r="W19">
        <v>2.5355136021971E-3</v>
      </c>
      <c r="X19">
        <v>6.4628530914584001E-3</v>
      </c>
      <c r="Y19" t="s">
        <v>64</v>
      </c>
      <c r="Z19">
        <v>6.4628530914584001E-3</v>
      </c>
      <c r="AA19" t="str">
        <f t="shared" si="0"/>
        <v>On</v>
      </c>
      <c r="AB19" t="str">
        <f t="shared" si="1"/>
        <v>On</v>
      </c>
      <c r="AC19" t="str">
        <f t="shared" si="2"/>
        <v>hidden_size=64+i_att_On+t_att_On</v>
      </c>
    </row>
    <row r="20" spans="1:29" x14ac:dyDescent="0.45">
      <c r="A20" s="1">
        <v>46168</v>
      </c>
      <c r="B20" t="s">
        <v>61</v>
      </c>
      <c r="C20" t="s">
        <v>65</v>
      </c>
      <c r="D20">
        <v>3</v>
      </c>
      <c r="E20">
        <v>128</v>
      </c>
      <c r="F20" t="s">
        <v>28</v>
      </c>
      <c r="G20" t="s">
        <v>29</v>
      </c>
      <c r="H20">
        <v>64</v>
      </c>
      <c r="I20">
        <v>0</v>
      </c>
      <c r="J20" t="s">
        <v>30</v>
      </c>
      <c r="K20">
        <v>0.01</v>
      </c>
      <c r="L20" t="s">
        <v>31</v>
      </c>
      <c r="M20">
        <v>3</v>
      </c>
      <c r="N20" t="s">
        <v>28</v>
      </c>
      <c r="O20" t="s">
        <v>29</v>
      </c>
      <c r="P20">
        <v>64</v>
      </c>
      <c r="Q20">
        <v>128</v>
      </c>
      <c r="R20">
        <v>0</v>
      </c>
      <c r="S20">
        <v>1444</v>
      </c>
      <c r="T20">
        <v>42</v>
      </c>
      <c r="U20">
        <v>1.4754792908206501E-2</v>
      </c>
      <c r="V20">
        <v>6.0811471194027996E-3</v>
      </c>
      <c r="W20">
        <v>2.8912152629345001E-3</v>
      </c>
      <c r="X20">
        <v>6.0734859046835997E-3</v>
      </c>
      <c r="Y20" s="2">
        <v>399.05421999999999</v>
      </c>
      <c r="Z20">
        <v>6.0734859046835997E-3</v>
      </c>
      <c r="AA20" t="str">
        <f t="shared" si="0"/>
        <v>Off</v>
      </c>
      <c r="AB20" t="str">
        <f t="shared" si="1"/>
        <v>On</v>
      </c>
      <c r="AC20" t="str">
        <f t="shared" si="2"/>
        <v>hidden_size=64+i_att_Off+t_att_On</v>
      </c>
    </row>
    <row r="21" spans="1:29" x14ac:dyDescent="0.45">
      <c r="A21" s="1">
        <v>46168</v>
      </c>
      <c r="B21" t="s">
        <v>61</v>
      </c>
      <c r="C21" t="s">
        <v>66</v>
      </c>
      <c r="D21">
        <v>3</v>
      </c>
      <c r="E21">
        <v>128</v>
      </c>
      <c r="F21" t="s">
        <v>29</v>
      </c>
      <c r="G21" t="s">
        <v>29</v>
      </c>
      <c r="H21">
        <v>48</v>
      </c>
      <c r="I21">
        <v>0</v>
      </c>
      <c r="J21" t="s">
        <v>30</v>
      </c>
      <c r="K21">
        <v>0.01</v>
      </c>
      <c r="L21" t="s">
        <v>31</v>
      </c>
      <c r="M21">
        <v>3</v>
      </c>
      <c r="N21" t="s">
        <v>29</v>
      </c>
      <c r="O21" t="s">
        <v>29</v>
      </c>
      <c r="P21">
        <v>48</v>
      </c>
      <c r="Q21">
        <v>128</v>
      </c>
      <c r="R21">
        <v>0</v>
      </c>
      <c r="S21">
        <v>1500</v>
      </c>
      <c r="T21">
        <v>43</v>
      </c>
      <c r="U21">
        <v>1.48093879688531E-2</v>
      </c>
      <c r="V21">
        <v>6.5641384571790001E-3</v>
      </c>
      <c r="W21">
        <v>2.7484165038912998E-3</v>
      </c>
      <c r="X21">
        <v>6.5578392499849999E-3</v>
      </c>
      <c r="Y21" t="s">
        <v>67</v>
      </c>
      <c r="Z21">
        <v>6.5578392499849999E-3</v>
      </c>
      <c r="AA21" t="str">
        <f t="shared" si="0"/>
        <v>On</v>
      </c>
      <c r="AB21" t="str">
        <f t="shared" si="1"/>
        <v>On</v>
      </c>
      <c r="AC21" t="str">
        <f t="shared" si="2"/>
        <v>hidden_size=48+i_att_On+t_att_On</v>
      </c>
    </row>
    <row r="22" spans="1:29" x14ac:dyDescent="0.45">
      <c r="A22" s="1">
        <v>46168</v>
      </c>
      <c r="B22" t="s">
        <v>61</v>
      </c>
      <c r="C22" t="s">
        <v>68</v>
      </c>
      <c r="D22">
        <v>3</v>
      </c>
      <c r="E22">
        <v>128</v>
      </c>
      <c r="F22" t="s">
        <v>28</v>
      </c>
      <c r="G22" t="s">
        <v>28</v>
      </c>
      <c r="H22">
        <v>64</v>
      </c>
      <c r="I22">
        <v>0</v>
      </c>
      <c r="J22" t="s">
        <v>30</v>
      </c>
      <c r="K22">
        <v>0.01</v>
      </c>
      <c r="L22" t="s">
        <v>31</v>
      </c>
      <c r="M22">
        <v>3</v>
      </c>
      <c r="N22" t="s">
        <v>28</v>
      </c>
      <c r="O22" t="s">
        <v>28</v>
      </c>
      <c r="P22">
        <v>64</v>
      </c>
      <c r="Q22">
        <v>128</v>
      </c>
      <c r="R22">
        <v>0</v>
      </c>
      <c r="S22">
        <v>1480</v>
      </c>
      <c r="T22">
        <v>43</v>
      </c>
      <c r="U22">
        <v>1.5832103788852601E-2</v>
      </c>
      <c r="V22">
        <v>5.8263759128748998E-3</v>
      </c>
      <c r="W22">
        <v>3.3352426253259E-3</v>
      </c>
      <c r="X22">
        <v>5.8189116728801999E-3</v>
      </c>
      <c r="Y22" t="s">
        <v>69</v>
      </c>
      <c r="Z22">
        <v>5.8189116728801999E-3</v>
      </c>
      <c r="AA22" t="str">
        <f t="shared" si="0"/>
        <v>Off</v>
      </c>
      <c r="AB22" t="str">
        <f t="shared" si="1"/>
        <v>Off</v>
      </c>
      <c r="AC22" t="str">
        <f t="shared" si="2"/>
        <v>hidden_size=64+i_att_Off+t_att_Off</v>
      </c>
    </row>
    <row r="23" spans="1:29" x14ac:dyDescent="0.45">
      <c r="A23" s="1">
        <v>46168</v>
      </c>
      <c r="B23" t="s">
        <v>61</v>
      </c>
      <c r="C23" t="s">
        <v>70</v>
      </c>
      <c r="D23">
        <v>3</v>
      </c>
      <c r="E23">
        <v>128</v>
      </c>
      <c r="F23" t="s">
        <v>28</v>
      </c>
      <c r="G23" t="s">
        <v>29</v>
      </c>
      <c r="H23">
        <v>32</v>
      </c>
      <c r="I23">
        <v>0</v>
      </c>
      <c r="J23" t="s">
        <v>30</v>
      </c>
      <c r="K23">
        <v>0.01</v>
      </c>
      <c r="L23" t="s">
        <v>31</v>
      </c>
      <c r="M23">
        <v>3</v>
      </c>
      <c r="N23" t="s">
        <v>28</v>
      </c>
      <c r="O23" t="s">
        <v>29</v>
      </c>
      <c r="P23">
        <v>32</v>
      </c>
      <c r="Q23">
        <v>128</v>
      </c>
      <c r="R23">
        <v>0</v>
      </c>
      <c r="S23">
        <v>1472</v>
      </c>
      <c r="T23">
        <v>43</v>
      </c>
      <c r="U23">
        <v>1.6797091113403401E-2</v>
      </c>
      <c r="V23">
        <v>6.6012595780192999E-3</v>
      </c>
      <c r="W23">
        <v>3.3986105117946E-3</v>
      </c>
      <c r="X23">
        <v>6.5950413441491999E-3</v>
      </c>
      <c r="Y23" t="s">
        <v>71</v>
      </c>
      <c r="Z23">
        <v>6.5950413441491999E-3</v>
      </c>
      <c r="AA23" t="str">
        <f t="shared" si="0"/>
        <v>Off</v>
      </c>
      <c r="AB23" t="str">
        <f t="shared" si="1"/>
        <v>On</v>
      </c>
      <c r="AC23" t="str">
        <f t="shared" si="2"/>
        <v>hidden_size=32+i_att_Off+t_att_On</v>
      </c>
    </row>
    <row r="24" spans="1:29" x14ac:dyDescent="0.45">
      <c r="A24" s="1">
        <v>46168</v>
      </c>
      <c r="B24" t="s">
        <v>26</v>
      </c>
      <c r="C24" t="s">
        <v>72</v>
      </c>
      <c r="D24">
        <v>2</v>
      </c>
      <c r="E24">
        <v>128</v>
      </c>
      <c r="F24" t="s">
        <v>29</v>
      </c>
      <c r="G24" t="s">
        <v>28</v>
      </c>
      <c r="H24">
        <v>64</v>
      </c>
      <c r="I24">
        <v>0</v>
      </c>
      <c r="J24" t="s">
        <v>30</v>
      </c>
      <c r="K24">
        <v>0.01</v>
      </c>
      <c r="L24" t="s">
        <v>31</v>
      </c>
      <c r="M24">
        <v>2</v>
      </c>
      <c r="N24" t="s">
        <v>29</v>
      </c>
      <c r="O24" t="s">
        <v>28</v>
      </c>
      <c r="P24">
        <v>64</v>
      </c>
      <c r="Q24">
        <v>128</v>
      </c>
      <c r="R24">
        <v>0</v>
      </c>
      <c r="S24">
        <v>1488</v>
      </c>
      <c r="T24">
        <v>43</v>
      </c>
      <c r="U24">
        <v>1.7070799833163602E-2</v>
      </c>
      <c r="V24">
        <v>5.7855946943162996E-3</v>
      </c>
      <c r="W24">
        <v>3.7617350462824002E-3</v>
      </c>
      <c r="X24">
        <v>5.7847352905404997E-3</v>
      </c>
      <c r="Y24" t="s">
        <v>73</v>
      </c>
      <c r="Z24">
        <v>5.7847352905404997E-3</v>
      </c>
      <c r="AA24" t="str">
        <f t="shared" si="0"/>
        <v>On</v>
      </c>
      <c r="AB24" t="str">
        <f t="shared" si="1"/>
        <v>Off</v>
      </c>
      <c r="AC24" t="str">
        <f t="shared" si="2"/>
        <v>hidden_size=64+i_att_On+t_att_Off</v>
      </c>
    </row>
    <row r="25" spans="1:29" x14ac:dyDescent="0.45">
      <c r="A25" s="1">
        <v>46168</v>
      </c>
      <c r="B25" t="s">
        <v>26</v>
      </c>
      <c r="C25" t="s">
        <v>74</v>
      </c>
      <c r="D25">
        <v>2</v>
      </c>
      <c r="E25">
        <v>128</v>
      </c>
      <c r="F25" t="s">
        <v>29</v>
      </c>
      <c r="G25" t="s">
        <v>29</v>
      </c>
      <c r="H25">
        <v>32</v>
      </c>
      <c r="I25">
        <v>0</v>
      </c>
      <c r="J25" t="s">
        <v>30</v>
      </c>
      <c r="K25">
        <v>0.01</v>
      </c>
      <c r="L25" t="s">
        <v>31</v>
      </c>
      <c r="M25">
        <v>2</v>
      </c>
      <c r="N25" t="s">
        <v>29</v>
      </c>
      <c r="O25" t="s">
        <v>29</v>
      </c>
      <c r="P25">
        <v>32</v>
      </c>
      <c r="Q25">
        <v>128</v>
      </c>
      <c r="R25">
        <v>0</v>
      </c>
      <c r="S25">
        <v>1464</v>
      </c>
      <c r="T25">
        <v>42</v>
      </c>
      <c r="U25">
        <v>1.7820963636040601E-2</v>
      </c>
      <c r="V25">
        <v>5.9988354332744997E-3</v>
      </c>
      <c r="W25">
        <v>3.9407094009220002E-3</v>
      </c>
      <c r="X25">
        <v>6.0098394751548004E-3</v>
      </c>
      <c r="Y25" t="s">
        <v>75</v>
      </c>
      <c r="Z25">
        <v>6.0098394751548004E-3</v>
      </c>
      <c r="AA25" t="str">
        <f t="shared" si="0"/>
        <v>On</v>
      </c>
      <c r="AB25" t="str">
        <f t="shared" si="1"/>
        <v>On</v>
      </c>
      <c r="AC25" t="str">
        <f t="shared" si="2"/>
        <v>hidden_size=32+i_att_On+t_att_On</v>
      </c>
    </row>
    <row r="26" spans="1:29" x14ac:dyDescent="0.45">
      <c r="A26" s="1">
        <v>46168</v>
      </c>
      <c r="B26" t="s">
        <v>26</v>
      </c>
      <c r="C26" t="s">
        <v>76</v>
      </c>
      <c r="D26">
        <v>1</v>
      </c>
      <c r="E26">
        <v>128</v>
      </c>
      <c r="F26" t="s">
        <v>29</v>
      </c>
      <c r="G26" t="s">
        <v>28</v>
      </c>
      <c r="H26">
        <v>64</v>
      </c>
      <c r="I26">
        <v>0</v>
      </c>
      <c r="J26" t="s">
        <v>30</v>
      </c>
      <c r="K26">
        <v>0.01</v>
      </c>
      <c r="L26" t="s">
        <v>31</v>
      </c>
      <c r="M26">
        <v>1</v>
      </c>
      <c r="N26" t="s">
        <v>29</v>
      </c>
      <c r="O26" t="s">
        <v>28</v>
      </c>
      <c r="P26">
        <v>64</v>
      </c>
      <c r="Q26">
        <v>128</v>
      </c>
      <c r="R26">
        <v>0</v>
      </c>
      <c r="S26">
        <v>1492</v>
      </c>
      <c r="T26">
        <v>43</v>
      </c>
      <c r="U26">
        <v>1.8049179110676002E-2</v>
      </c>
      <c r="V26">
        <v>6.4116874709724998E-3</v>
      </c>
      <c r="W26">
        <v>3.8791638799011E-3</v>
      </c>
      <c r="X26">
        <v>6.4095181619954998E-3</v>
      </c>
      <c r="Y26" t="s">
        <v>77</v>
      </c>
      <c r="Z26">
        <v>6.4095181619954998E-3</v>
      </c>
      <c r="AA26" t="str">
        <f t="shared" si="0"/>
        <v>On</v>
      </c>
      <c r="AB26" t="str">
        <f t="shared" si="1"/>
        <v>Off</v>
      </c>
      <c r="AC26" t="str">
        <f t="shared" si="2"/>
        <v>hidden_size=64+i_att_On+t_att_Off</v>
      </c>
    </row>
    <row r="27" spans="1:29" x14ac:dyDescent="0.45">
      <c r="A27" s="1">
        <v>46168</v>
      </c>
      <c r="B27" t="s">
        <v>61</v>
      </c>
      <c r="C27" t="s">
        <v>78</v>
      </c>
      <c r="D27">
        <v>4</v>
      </c>
      <c r="E27">
        <v>128</v>
      </c>
      <c r="F27" t="s">
        <v>28</v>
      </c>
      <c r="G27" t="s">
        <v>28</v>
      </c>
      <c r="H27">
        <v>64</v>
      </c>
      <c r="I27">
        <v>0</v>
      </c>
      <c r="J27" t="s">
        <v>30</v>
      </c>
      <c r="K27">
        <v>0.01</v>
      </c>
      <c r="L27" t="s">
        <v>31</v>
      </c>
      <c r="M27">
        <v>4</v>
      </c>
      <c r="N27" t="s">
        <v>28</v>
      </c>
      <c r="O27" t="s">
        <v>28</v>
      </c>
      <c r="P27">
        <v>64</v>
      </c>
      <c r="Q27">
        <v>128</v>
      </c>
      <c r="R27">
        <v>0</v>
      </c>
      <c r="S27">
        <v>1456</v>
      </c>
      <c r="T27">
        <v>42</v>
      </c>
      <c r="U27">
        <v>1.8123188987374299E-2</v>
      </c>
      <c r="V27">
        <v>7.0332172326743004E-3</v>
      </c>
      <c r="W27">
        <v>3.6966572515665999E-3</v>
      </c>
      <c r="X27">
        <v>7.0523047405812002E-3</v>
      </c>
      <c r="Y27" t="s">
        <v>79</v>
      </c>
      <c r="Z27">
        <v>7.0523047405812002E-3</v>
      </c>
      <c r="AA27" t="str">
        <f t="shared" si="0"/>
        <v>Off</v>
      </c>
      <c r="AB27" t="str">
        <f t="shared" si="1"/>
        <v>Off</v>
      </c>
      <c r="AC27" t="str">
        <f t="shared" si="2"/>
        <v>hidden_size=64+i_att_Off+t_att_Off</v>
      </c>
    </row>
    <row r="28" spans="1:29" x14ac:dyDescent="0.45">
      <c r="A28" s="1">
        <v>46168</v>
      </c>
      <c r="B28" t="s">
        <v>61</v>
      </c>
      <c r="C28" t="s">
        <v>80</v>
      </c>
      <c r="D28">
        <v>3</v>
      </c>
      <c r="E28">
        <v>128</v>
      </c>
      <c r="F28" t="s">
        <v>28</v>
      </c>
      <c r="G28" t="s">
        <v>28</v>
      </c>
      <c r="H28">
        <v>32</v>
      </c>
      <c r="I28">
        <v>0</v>
      </c>
      <c r="J28" t="s">
        <v>30</v>
      </c>
      <c r="K28">
        <v>0.01</v>
      </c>
      <c r="L28" t="s">
        <v>31</v>
      </c>
      <c r="M28">
        <v>3</v>
      </c>
      <c r="N28" t="s">
        <v>28</v>
      </c>
      <c r="O28" t="s">
        <v>28</v>
      </c>
      <c r="P28">
        <v>32</v>
      </c>
      <c r="Q28">
        <v>128</v>
      </c>
      <c r="R28">
        <v>0</v>
      </c>
      <c r="S28">
        <v>1444</v>
      </c>
      <c r="T28">
        <v>42</v>
      </c>
      <c r="U28">
        <v>1.8544524442404502E-2</v>
      </c>
      <c r="V28">
        <v>7.0030656643211E-3</v>
      </c>
      <c r="W28">
        <v>3.8471529260276998E-3</v>
      </c>
      <c r="X28">
        <v>6.9968081079423003E-3</v>
      </c>
      <c r="Y28" t="s">
        <v>81</v>
      </c>
      <c r="Z28">
        <v>6.9968081079423003E-3</v>
      </c>
      <c r="AA28" t="str">
        <f t="shared" si="0"/>
        <v>Off</v>
      </c>
      <c r="AB28" t="str">
        <f t="shared" si="1"/>
        <v>Off</v>
      </c>
      <c r="AC28" t="str">
        <f t="shared" si="2"/>
        <v>hidden_size=32+i_att_Off+t_att_Off</v>
      </c>
    </row>
    <row r="29" spans="1:29" x14ac:dyDescent="0.45">
      <c r="A29" s="1">
        <v>46168</v>
      </c>
      <c r="B29" t="s">
        <v>26</v>
      </c>
      <c r="C29" t="s">
        <v>82</v>
      </c>
      <c r="D29">
        <v>2</v>
      </c>
      <c r="E29">
        <v>128</v>
      </c>
      <c r="F29" t="s">
        <v>29</v>
      </c>
      <c r="G29" t="s">
        <v>28</v>
      </c>
      <c r="H29">
        <v>48</v>
      </c>
      <c r="I29">
        <v>0</v>
      </c>
      <c r="J29" t="s">
        <v>30</v>
      </c>
      <c r="K29">
        <v>0.01</v>
      </c>
      <c r="L29" t="s">
        <v>31</v>
      </c>
      <c r="M29">
        <v>2</v>
      </c>
      <c r="N29" t="s">
        <v>29</v>
      </c>
      <c r="O29" t="s">
        <v>28</v>
      </c>
      <c r="P29">
        <v>48</v>
      </c>
      <c r="Q29">
        <v>128</v>
      </c>
      <c r="R29">
        <v>0</v>
      </c>
      <c r="S29">
        <v>1456</v>
      </c>
      <c r="T29">
        <v>42</v>
      </c>
      <c r="U29">
        <v>1.8571183085441499E-2</v>
      </c>
      <c r="V29">
        <v>6.2081944197416002E-3</v>
      </c>
      <c r="W29">
        <v>4.1209962218999004E-3</v>
      </c>
      <c r="X29">
        <v>6.2159718428221001E-3</v>
      </c>
      <c r="Y29" t="s">
        <v>83</v>
      </c>
      <c r="Z29">
        <v>6.2159718428221001E-3</v>
      </c>
      <c r="AA29" t="str">
        <f t="shared" si="0"/>
        <v>On</v>
      </c>
      <c r="AB29" t="str">
        <f t="shared" si="1"/>
        <v>Off</v>
      </c>
      <c r="AC29" t="str">
        <f t="shared" si="2"/>
        <v>hidden_size=48+i_att_On+t_att_Off</v>
      </c>
    </row>
    <row r="30" spans="1:29" x14ac:dyDescent="0.45">
      <c r="A30" s="1">
        <v>46168</v>
      </c>
      <c r="B30" t="s">
        <v>61</v>
      </c>
      <c r="C30" t="s">
        <v>84</v>
      </c>
      <c r="D30">
        <v>3</v>
      </c>
      <c r="E30">
        <v>128</v>
      </c>
      <c r="F30" t="s">
        <v>28</v>
      </c>
      <c r="G30" t="s">
        <v>28</v>
      </c>
      <c r="H30">
        <v>48</v>
      </c>
      <c r="I30">
        <v>0</v>
      </c>
      <c r="J30" t="s">
        <v>30</v>
      </c>
      <c r="K30">
        <v>0.01</v>
      </c>
      <c r="L30" t="s">
        <v>31</v>
      </c>
      <c r="M30">
        <v>3</v>
      </c>
      <c r="N30" t="s">
        <v>28</v>
      </c>
      <c r="O30" t="s">
        <v>28</v>
      </c>
      <c r="P30">
        <v>48</v>
      </c>
      <c r="Q30">
        <v>128</v>
      </c>
      <c r="R30">
        <v>0</v>
      </c>
      <c r="S30">
        <v>1456</v>
      </c>
      <c r="T30">
        <v>42</v>
      </c>
      <c r="U30">
        <v>1.91524922847747E-2</v>
      </c>
      <c r="V30">
        <v>6.3877506181596998E-3</v>
      </c>
      <c r="W30">
        <v>4.2549138888716004E-3</v>
      </c>
      <c r="X30">
        <v>6.380935303039E-3</v>
      </c>
      <c r="Y30" t="s">
        <v>85</v>
      </c>
      <c r="Z30">
        <v>6.380935303039E-3</v>
      </c>
      <c r="AA30" t="str">
        <f t="shared" si="0"/>
        <v>Off</v>
      </c>
      <c r="AB30" t="str">
        <f t="shared" si="1"/>
        <v>Off</v>
      </c>
      <c r="AC30" t="str">
        <f t="shared" si="2"/>
        <v>hidden_size=48+i_att_Off+t_att_Off</v>
      </c>
    </row>
    <row r="31" spans="1:29" x14ac:dyDescent="0.45">
      <c r="A31" s="1">
        <v>46168</v>
      </c>
      <c r="B31" t="s">
        <v>61</v>
      </c>
      <c r="C31" t="s">
        <v>86</v>
      </c>
      <c r="D31">
        <v>4</v>
      </c>
      <c r="E31">
        <v>128</v>
      </c>
      <c r="F31" t="s">
        <v>28</v>
      </c>
      <c r="G31" t="s">
        <v>29</v>
      </c>
      <c r="H31">
        <v>64</v>
      </c>
      <c r="I31">
        <v>0</v>
      </c>
      <c r="J31" t="s">
        <v>30</v>
      </c>
      <c r="K31">
        <v>0.01</v>
      </c>
      <c r="L31" t="s">
        <v>31</v>
      </c>
      <c r="M31">
        <v>4</v>
      </c>
      <c r="N31" t="s">
        <v>28</v>
      </c>
      <c r="O31" t="s">
        <v>29</v>
      </c>
      <c r="P31">
        <v>64</v>
      </c>
      <c r="Q31">
        <v>128</v>
      </c>
      <c r="R31">
        <v>0</v>
      </c>
      <c r="S31">
        <v>1444</v>
      </c>
      <c r="T31">
        <v>42</v>
      </c>
      <c r="U31">
        <v>2.00376738794147E-2</v>
      </c>
      <c r="V31">
        <v>7.6698851771651996E-3</v>
      </c>
      <c r="W31">
        <v>4.1225962340831002E-3</v>
      </c>
      <c r="X31">
        <v>7.6766548574797996E-3</v>
      </c>
      <c r="Y31" t="s">
        <v>87</v>
      </c>
      <c r="Z31">
        <v>7.6766548574797996E-3</v>
      </c>
      <c r="AA31" t="str">
        <f t="shared" si="0"/>
        <v>Off</v>
      </c>
      <c r="AB31" t="str">
        <f t="shared" si="1"/>
        <v>On</v>
      </c>
      <c r="AC31" t="str">
        <f t="shared" si="2"/>
        <v>hidden_size=64+i_att_Off+t_att_On</v>
      </c>
    </row>
    <row r="32" spans="1:29" x14ac:dyDescent="0.45">
      <c r="A32" s="1">
        <v>46168</v>
      </c>
      <c r="B32" t="s">
        <v>61</v>
      </c>
      <c r="C32" t="s">
        <v>88</v>
      </c>
      <c r="D32">
        <v>4</v>
      </c>
      <c r="E32">
        <v>128</v>
      </c>
      <c r="F32" t="s">
        <v>29</v>
      </c>
      <c r="G32" t="s">
        <v>29</v>
      </c>
      <c r="H32">
        <v>48</v>
      </c>
      <c r="I32">
        <v>0</v>
      </c>
      <c r="J32" t="s">
        <v>30</v>
      </c>
      <c r="K32">
        <v>0.01</v>
      </c>
      <c r="L32" t="s">
        <v>31</v>
      </c>
      <c r="M32">
        <v>4</v>
      </c>
      <c r="N32" t="s">
        <v>29</v>
      </c>
      <c r="O32" t="s">
        <v>29</v>
      </c>
      <c r="P32">
        <v>48</v>
      </c>
      <c r="Q32">
        <v>128</v>
      </c>
      <c r="R32">
        <v>0</v>
      </c>
      <c r="S32">
        <v>1456</v>
      </c>
      <c r="T32">
        <v>42</v>
      </c>
      <c r="U32">
        <v>2.0509419031441201E-2</v>
      </c>
      <c r="V32">
        <v>7.7904565259814002E-3</v>
      </c>
      <c r="W32">
        <v>4.2396541684864997E-3</v>
      </c>
      <c r="X32">
        <v>7.8055042670003997E-3</v>
      </c>
      <c r="Y32" t="s">
        <v>89</v>
      </c>
      <c r="Z32">
        <v>7.8055042670003997E-3</v>
      </c>
      <c r="AA32" t="str">
        <f t="shared" si="0"/>
        <v>On</v>
      </c>
      <c r="AB32" t="str">
        <f t="shared" si="1"/>
        <v>On</v>
      </c>
      <c r="AC32" t="str">
        <f t="shared" si="2"/>
        <v>hidden_size=48+i_att_On+t_att_On</v>
      </c>
    </row>
    <row r="33" spans="1:29" x14ac:dyDescent="0.45">
      <c r="A33" s="1">
        <v>46168</v>
      </c>
      <c r="B33" t="s">
        <v>61</v>
      </c>
      <c r="C33" t="s">
        <v>90</v>
      </c>
      <c r="D33">
        <v>4</v>
      </c>
      <c r="E33">
        <v>128</v>
      </c>
      <c r="F33" t="s">
        <v>28</v>
      </c>
      <c r="G33" t="s">
        <v>29</v>
      </c>
      <c r="H33">
        <v>48</v>
      </c>
      <c r="I33">
        <v>0</v>
      </c>
      <c r="J33" t="s">
        <v>30</v>
      </c>
      <c r="K33">
        <v>0.01</v>
      </c>
      <c r="L33" t="s">
        <v>31</v>
      </c>
      <c r="M33">
        <v>4</v>
      </c>
      <c r="N33" t="s">
        <v>28</v>
      </c>
      <c r="O33" t="s">
        <v>29</v>
      </c>
      <c r="P33">
        <v>48</v>
      </c>
      <c r="Q33">
        <v>128</v>
      </c>
      <c r="R33">
        <v>0</v>
      </c>
      <c r="S33">
        <v>1464</v>
      </c>
      <c r="T33">
        <v>42</v>
      </c>
      <c r="U33">
        <v>2.1008328534662699E-2</v>
      </c>
      <c r="V33">
        <v>7.8416634351015004E-3</v>
      </c>
      <c r="W33">
        <v>4.3888883665203996E-3</v>
      </c>
      <c r="X33">
        <v>7.8484577954643E-3</v>
      </c>
      <c r="Y33" t="s">
        <v>91</v>
      </c>
      <c r="Z33">
        <v>7.8484577954643E-3</v>
      </c>
      <c r="AA33" t="str">
        <f t="shared" si="0"/>
        <v>Off</v>
      </c>
      <c r="AB33" t="str">
        <f t="shared" si="1"/>
        <v>On</v>
      </c>
      <c r="AC33" t="str">
        <f t="shared" si="2"/>
        <v>hidden_size=48+i_att_Off+t_att_On</v>
      </c>
    </row>
    <row r="34" spans="1:29" x14ac:dyDescent="0.45">
      <c r="A34" s="1">
        <v>46168</v>
      </c>
      <c r="B34" t="s">
        <v>26</v>
      </c>
      <c r="C34" t="s">
        <v>92</v>
      </c>
      <c r="D34">
        <v>2</v>
      </c>
      <c r="E34">
        <v>128</v>
      </c>
      <c r="F34" t="s">
        <v>29</v>
      </c>
      <c r="G34" t="s">
        <v>28</v>
      </c>
      <c r="H34">
        <v>32</v>
      </c>
      <c r="I34">
        <v>0</v>
      </c>
      <c r="J34" t="s">
        <v>30</v>
      </c>
      <c r="K34">
        <v>0.01</v>
      </c>
      <c r="L34" t="s">
        <v>31</v>
      </c>
      <c r="M34">
        <v>2</v>
      </c>
      <c r="N34" t="s">
        <v>29</v>
      </c>
      <c r="O34" t="s">
        <v>28</v>
      </c>
      <c r="P34">
        <v>32</v>
      </c>
      <c r="Q34">
        <v>128</v>
      </c>
      <c r="R34">
        <v>0</v>
      </c>
      <c r="S34">
        <v>1424</v>
      </c>
      <c r="T34">
        <v>41</v>
      </c>
      <c r="U34">
        <v>2.1846555173396998E-2</v>
      </c>
      <c r="V34">
        <v>7.8281378373503008E-3</v>
      </c>
      <c r="W34">
        <v>4.6728057786821998E-3</v>
      </c>
      <c r="X34">
        <v>7.8394402646355995E-3</v>
      </c>
      <c r="Y34" t="s">
        <v>93</v>
      </c>
      <c r="Z34">
        <v>7.8394402646355995E-3</v>
      </c>
      <c r="AA34" t="str">
        <f t="shared" si="0"/>
        <v>On</v>
      </c>
      <c r="AB34" t="str">
        <f t="shared" si="1"/>
        <v>Off</v>
      </c>
      <c r="AC34" t="str">
        <f t="shared" si="2"/>
        <v>hidden_size=32+i_att_On+t_att_Off</v>
      </c>
    </row>
    <row r="35" spans="1:29" x14ac:dyDescent="0.45">
      <c r="A35" s="1">
        <v>46168</v>
      </c>
      <c r="B35" t="s">
        <v>61</v>
      </c>
      <c r="C35" t="s">
        <v>94</v>
      </c>
      <c r="D35">
        <v>4</v>
      </c>
      <c r="E35">
        <v>128</v>
      </c>
      <c r="F35" t="s">
        <v>29</v>
      </c>
      <c r="G35" t="s">
        <v>29</v>
      </c>
      <c r="H35">
        <v>32</v>
      </c>
      <c r="I35">
        <v>0</v>
      </c>
      <c r="J35" t="s">
        <v>30</v>
      </c>
      <c r="K35">
        <v>0.01</v>
      </c>
      <c r="L35" t="s">
        <v>31</v>
      </c>
      <c r="M35">
        <v>4</v>
      </c>
      <c r="N35" t="s">
        <v>29</v>
      </c>
      <c r="O35" t="s">
        <v>29</v>
      </c>
      <c r="P35">
        <v>32</v>
      </c>
      <c r="Q35">
        <v>128</v>
      </c>
      <c r="R35">
        <v>0</v>
      </c>
      <c r="S35">
        <v>1476</v>
      </c>
      <c r="T35">
        <v>43</v>
      </c>
      <c r="U35">
        <v>2.2407488431781499E-2</v>
      </c>
      <c r="V35">
        <v>8.5375579074024998E-3</v>
      </c>
      <c r="W35">
        <v>4.6233101747929998E-3</v>
      </c>
      <c r="X35">
        <v>8.5513195954263002E-3</v>
      </c>
      <c r="Y35" t="s">
        <v>95</v>
      </c>
      <c r="Z35">
        <v>8.5513195954263002E-3</v>
      </c>
      <c r="AA35" t="str">
        <f t="shared" si="0"/>
        <v>On</v>
      </c>
      <c r="AB35" t="str">
        <f t="shared" si="1"/>
        <v>On</v>
      </c>
      <c r="AC35" t="str">
        <f t="shared" si="2"/>
        <v>hidden_size=32+i_att_On+t_att_On</v>
      </c>
    </row>
    <row r="36" spans="1:29" x14ac:dyDescent="0.45">
      <c r="A36" s="1">
        <v>46168</v>
      </c>
      <c r="B36" t="s">
        <v>61</v>
      </c>
      <c r="C36" t="s">
        <v>96</v>
      </c>
      <c r="D36">
        <v>4</v>
      </c>
      <c r="E36">
        <v>128</v>
      </c>
      <c r="F36" t="s">
        <v>28</v>
      </c>
      <c r="G36" t="s">
        <v>29</v>
      </c>
      <c r="H36">
        <v>32</v>
      </c>
      <c r="I36">
        <v>0</v>
      </c>
      <c r="J36" t="s">
        <v>30</v>
      </c>
      <c r="K36">
        <v>0.01</v>
      </c>
      <c r="L36" t="s">
        <v>31</v>
      </c>
      <c r="M36">
        <v>4</v>
      </c>
      <c r="N36" t="s">
        <v>28</v>
      </c>
      <c r="O36" t="s">
        <v>29</v>
      </c>
      <c r="P36">
        <v>32</v>
      </c>
      <c r="Q36">
        <v>128</v>
      </c>
      <c r="R36">
        <v>0</v>
      </c>
      <c r="S36">
        <v>1448</v>
      </c>
      <c r="T36">
        <v>42</v>
      </c>
      <c r="U36">
        <v>2.25986647419631E-2</v>
      </c>
      <c r="V36">
        <v>8.4281675517558999E-3</v>
      </c>
      <c r="W36">
        <v>4.7234990634023996E-3</v>
      </c>
      <c r="X36">
        <v>8.4377397886579997E-3</v>
      </c>
      <c r="Y36" t="s">
        <v>97</v>
      </c>
      <c r="Z36">
        <v>8.4377397886579997E-3</v>
      </c>
      <c r="AA36" t="str">
        <f t="shared" si="0"/>
        <v>Off</v>
      </c>
      <c r="AB36" t="str">
        <f t="shared" si="1"/>
        <v>On</v>
      </c>
      <c r="AC36" t="str">
        <f t="shared" si="2"/>
        <v>hidden_size=32+i_att_Off+t_att_On</v>
      </c>
    </row>
    <row r="37" spans="1:29" x14ac:dyDescent="0.45">
      <c r="A37" s="1">
        <v>46168</v>
      </c>
      <c r="B37" t="s">
        <v>98</v>
      </c>
      <c r="C37" t="s">
        <v>99</v>
      </c>
      <c r="D37">
        <v>6</v>
      </c>
      <c r="E37">
        <v>128</v>
      </c>
      <c r="F37" t="s">
        <v>28</v>
      </c>
      <c r="G37" t="s">
        <v>29</v>
      </c>
      <c r="H37">
        <v>64</v>
      </c>
      <c r="I37">
        <v>0</v>
      </c>
      <c r="J37" t="s">
        <v>30</v>
      </c>
      <c r="K37">
        <v>0.01</v>
      </c>
      <c r="L37" t="s">
        <v>31</v>
      </c>
      <c r="M37">
        <v>6</v>
      </c>
      <c r="N37" t="s">
        <v>28</v>
      </c>
      <c r="O37" t="s">
        <v>29</v>
      </c>
      <c r="P37">
        <v>64</v>
      </c>
      <c r="Q37">
        <v>128</v>
      </c>
      <c r="R37">
        <v>0</v>
      </c>
      <c r="S37">
        <v>1464</v>
      </c>
      <c r="T37">
        <v>42</v>
      </c>
      <c r="U37">
        <v>2.2655885200947499E-2</v>
      </c>
      <c r="V37">
        <v>1.19232647120952E-2</v>
      </c>
      <c r="W37">
        <v>3.5775401629507E-3</v>
      </c>
      <c r="X37">
        <v>1.19516771907607E-2</v>
      </c>
      <c r="Y37" t="s">
        <v>100</v>
      </c>
      <c r="Z37">
        <v>1.19516771907607E-2</v>
      </c>
      <c r="AA37" t="str">
        <f t="shared" si="0"/>
        <v>Off</v>
      </c>
      <c r="AB37" t="str">
        <f t="shared" si="1"/>
        <v>On</v>
      </c>
      <c r="AC37" t="str">
        <f t="shared" si="2"/>
        <v>hidden_size=64+i_att_Off+t_att_On</v>
      </c>
    </row>
    <row r="38" spans="1:29" x14ac:dyDescent="0.45">
      <c r="A38" s="1">
        <v>46168</v>
      </c>
      <c r="B38" t="s">
        <v>61</v>
      </c>
      <c r="C38" t="s">
        <v>101</v>
      </c>
      <c r="D38">
        <v>4</v>
      </c>
      <c r="E38">
        <v>128</v>
      </c>
      <c r="F38" t="s">
        <v>28</v>
      </c>
      <c r="G38" t="s">
        <v>28</v>
      </c>
      <c r="H38">
        <v>32</v>
      </c>
      <c r="I38">
        <v>0</v>
      </c>
      <c r="J38" t="s">
        <v>30</v>
      </c>
      <c r="K38">
        <v>0.01</v>
      </c>
      <c r="L38" t="s">
        <v>31</v>
      </c>
      <c r="M38">
        <v>4</v>
      </c>
      <c r="N38" t="s">
        <v>28</v>
      </c>
      <c r="O38" t="s">
        <v>28</v>
      </c>
      <c r="P38">
        <v>32</v>
      </c>
      <c r="Q38">
        <v>128</v>
      </c>
      <c r="R38">
        <v>0</v>
      </c>
      <c r="S38">
        <v>1324</v>
      </c>
      <c r="T38">
        <v>38</v>
      </c>
      <c r="U38">
        <v>2.2929058875888499E-2</v>
      </c>
      <c r="V38">
        <v>8.3314841613172999E-3</v>
      </c>
      <c r="W38">
        <v>4.8658582381904004E-3</v>
      </c>
      <c r="X38">
        <v>8.3339770531488007E-3</v>
      </c>
      <c r="Y38" t="s">
        <v>102</v>
      </c>
      <c r="Z38">
        <v>8.3339770531488007E-3</v>
      </c>
      <c r="AA38" t="str">
        <f t="shared" si="0"/>
        <v>Off</v>
      </c>
      <c r="AB38" t="str">
        <f t="shared" si="1"/>
        <v>Off</v>
      </c>
      <c r="AC38" t="str">
        <f t="shared" si="2"/>
        <v>hidden_size=32+i_att_Off+t_att_Off</v>
      </c>
    </row>
    <row r="39" spans="1:29" x14ac:dyDescent="0.45">
      <c r="A39" s="1">
        <v>46168</v>
      </c>
      <c r="B39" t="s">
        <v>98</v>
      </c>
      <c r="C39" t="s">
        <v>103</v>
      </c>
      <c r="D39">
        <v>5</v>
      </c>
      <c r="E39">
        <v>128</v>
      </c>
      <c r="F39" t="s">
        <v>28</v>
      </c>
      <c r="G39" t="s">
        <v>29</v>
      </c>
      <c r="H39">
        <v>64</v>
      </c>
      <c r="I39">
        <v>0</v>
      </c>
      <c r="J39" t="s">
        <v>30</v>
      </c>
      <c r="K39">
        <v>0.01</v>
      </c>
      <c r="L39" t="s">
        <v>31</v>
      </c>
      <c r="M39">
        <v>5</v>
      </c>
      <c r="N39" t="s">
        <v>28</v>
      </c>
      <c r="O39" t="s">
        <v>29</v>
      </c>
      <c r="P39">
        <v>64</v>
      </c>
      <c r="Q39">
        <v>128</v>
      </c>
      <c r="R39">
        <v>0</v>
      </c>
      <c r="S39">
        <v>1180</v>
      </c>
      <c r="T39">
        <v>34</v>
      </c>
      <c r="U39">
        <v>2.33068470843136E-2</v>
      </c>
      <c r="V39">
        <v>1.0979010723531199E-2</v>
      </c>
      <c r="W39">
        <v>4.1092787869274E-3</v>
      </c>
      <c r="X39">
        <v>1.0989430670936899E-2</v>
      </c>
      <c r="Y39" t="s">
        <v>104</v>
      </c>
      <c r="Z39">
        <v>1.0989430670936899E-2</v>
      </c>
      <c r="AA39" t="str">
        <f t="shared" si="0"/>
        <v>Off</v>
      </c>
      <c r="AB39" t="str">
        <f t="shared" si="1"/>
        <v>On</v>
      </c>
      <c r="AC39" t="str">
        <f t="shared" si="2"/>
        <v>hidden_size=64+i_att_Off+t_att_On</v>
      </c>
    </row>
    <row r="40" spans="1:29" x14ac:dyDescent="0.45">
      <c r="A40" s="1">
        <v>46168</v>
      </c>
      <c r="B40" t="s">
        <v>61</v>
      </c>
      <c r="C40" t="s">
        <v>105</v>
      </c>
      <c r="D40">
        <v>4</v>
      </c>
      <c r="E40">
        <v>128</v>
      </c>
      <c r="F40" t="s">
        <v>28</v>
      </c>
      <c r="G40" t="s">
        <v>28</v>
      </c>
      <c r="H40">
        <v>48</v>
      </c>
      <c r="I40">
        <v>0</v>
      </c>
      <c r="J40" t="s">
        <v>30</v>
      </c>
      <c r="K40">
        <v>0.01</v>
      </c>
      <c r="L40" t="s">
        <v>31</v>
      </c>
      <c r="M40">
        <v>4</v>
      </c>
      <c r="N40" t="s">
        <v>28</v>
      </c>
      <c r="O40" t="s">
        <v>28</v>
      </c>
      <c r="P40">
        <v>48</v>
      </c>
      <c r="Q40">
        <v>128</v>
      </c>
      <c r="R40">
        <v>0</v>
      </c>
      <c r="S40">
        <v>1288</v>
      </c>
      <c r="T40">
        <v>37</v>
      </c>
      <c r="U40">
        <v>2.3313682060688699E-2</v>
      </c>
      <c r="V40">
        <v>8.4290103986858992E-3</v>
      </c>
      <c r="W40">
        <v>4.9615572206675998E-3</v>
      </c>
      <c r="X40">
        <v>8.4331288105910993E-3</v>
      </c>
      <c r="Y40" t="s">
        <v>106</v>
      </c>
      <c r="Z40">
        <v>8.4331288105910993E-3</v>
      </c>
      <c r="AA40" t="str">
        <f t="shared" si="0"/>
        <v>Off</v>
      </c>
      <c r="AB40" t="str">
        <f t="shared" si="1"/>
        <v>Off</v>
      </c>
      <c r="AC40" t="str">
        <f t="shared" si="2"/>
        <v>hidden_size=48+i_att_Off+t_att_Off</v>
      </c>
    </row>
    <row r="41" spans="1:29" x14ac:dyDescent="0.45">
      <c r="A41" s="1">
        <v>46168</v>
      </c>
      <c r="B41" t="s">
        <v>61</v>
      </c>
      <c r="C41" t="s">
        <v>107</v>
      </c>
      <c r="D41">
        <v>4</v>
      </c>
      <c r="E41">
        <v>128</v>
      </c>
      <c r="F41" t="s">
        <v>29</v>
      </c>
      <c r="G41" t="s">
        <v>29</v>
      </c>
      <c r="H41">
        <v>64</v>
      </c>
      <c r="I41">
        <v>0</v>
      </c>
      <c r="J41" t="s">
        <v>30</v>
      </c>
      <c r="K41">
        <v>0.01</v>
      </c>
      <c r="L41" t="s">
        <v>31</v>
      </c>
      <c r="M41">
        <v>4</v>
      </c>
      <c r="N41" t="s">
        <v>29</v>
      </c>
      <c r="O41" t="s">
        <v>29</v>
      </c>
      <c r="P41">
        <v>64</v>
      </c>
      <c r="Q41">
        <v>128</v>
      </c>
      <c r="R41">
        <v>0</v>
      </c>
      <c r="S41">
        <v>1288</v>
      </c>
      <c r="T41">
        <v>37</v>
      </c>
      <c r="U41">
        <v>2.3539484012871901E-2</v>
      </c>
      <c r="V41">
        <v>8.3926655352115007E-3</v>
      </c>
      <c r="W41">
        <v>5.0489394925533997E-3</v>
      </c>
      <c r="X41">
        <v>8.3932473013798008E-3</v>
      </c>
      <c r="Y41" s="2">
        <v>7.38645</v>
      </c>
      <c r="Z41">
        <v>8.3932473013798008E-3</v>
      </c>
      <c r="AA41" t="str">
        <f t="shared" si="0"/>
        <v>On</v>
      </c>
      <c r="AB41" t="str">
        <f t="shared" si="1"/>
        <v>On</v>
      </c>
      <c r="AC41" t="str">
        <f t="shared" si="2"/>
        <v>hidden_size=64+i_att_On+t_att_On</v>
      </c>
    </row>
    <row r="42" spans="1:29" x14ac:dyDescent="0.45">
      <c r="A42" s="1">
        <v>46168</v>
      </c>
      <c r="B42" t="s">
        <v>26</v>
      </c>
      <c r="C42" t="s">
        <v>108</v>
      </c>
      <c r="D42">
        <v>1</v>
      </c>
      <c r="E42">
        <v>128</v>
      </c>
      <c r="F42" t="s">
        <v>29</v>
      </c>
      <c r="G42" t="s">
        <v>29</v>
      </c>
      <c r="H42">
        <v>48</v>
      </c>
      <c r="I42">
        <v>0</v>
      </c>
      <c r="J42" t="s">
        <v>30</v>
      </c>
      <c r="K42">
        <v>0.01</v>
      </c>
      <c r="L42" t="s">
        <v>31</v>
      </c>
      <c r="M42">
        <v>1</v>
      </c>
      <c r="N42" t="s">
        <v>29</v>
      </c>
      <c r="O42" t="s">
        <v>29</v>
      </c>
      <c r="P42">
        <v>48</v>
      </c>
      <c r="Q42">
        <v>128</v>
      </c>
      <c r="R42">
        <v>0</v>
      </c>
      <c r="S42">
        <v>1500</v>
      </c>
      <c r="T42">
        <v>43</v>
      </c>
      <c r="U42">
        <v>2.3551135789602901E-2</v>
      </c>
      <c r="V42">
        <v>7.2823897935449999E-3</v>
      </c>
      <c r="W42">
        <v>5.4229153320192996E-3</v>
      </c>
      <c r="X42">
        <v>7.2812815196811997E-3</v>
      </c>
      <c r="Y42" t="s">
        <v>109</v>
      </c>
      <c r="Z42">
        <v>7.2812815196811997E-3</v>
      </c>
      <c r="AA42" t="str">
        <f t="shared" si="0"/>
        <v>On</v>
      </c>
      <c r="AB42" t="str">
        <f t="shared" si="1"/>
        <v>On</v>
      </c>
      <c r="AC42" t="str">
        <f t="shared" si="2"/>
        <v>hidden_size=48+i_att_On+t_att_On</v>
      </c>
    </row>
    <row r="43" spans="1:29" x14ac:dyDescent="0.45">
      <c r="A43" s="1">
        <v>46168</v>
      </c>
      <c r="B43" t="s">
        <v>61</v>
      </c>
      <c r="C43" t="s">
        <v>110</v>
      </c>
      <c r="D43">
        <v>4</v>
      </c>
      <c r="E43">
        <v>128</v>
      </c>
      <c r="F43" t="s">
        <v>29</v>
      </c>
      <c r="G43" t="s">
        <v>28</v>
      </c>
      <c r="H43">
        <v>64</v>
      </c>
      <c r="I43">
        <v>0</v>
      </c>
      <c r="J43" t="s">
        <v>30</v>
      </c>
      <c r="K43">
        <v>0.01</v>
      </c>
      <c r="L43" t="s">
        <v>31</v>
      </c>
      <c r="M43">
        <v>4</v>
      </c>
      <c r="N43" t="s">
        <v>29</v>
      </c>
      <c r="O43" t="s">
        <v>28</v>
      </c>
      <c r="P43">
        <v>64</v>
      </c>
      <c r="Q43">
        <v>128</v>
      </c>
      <c r="R43">
        <v>0</v>
      </c>
      <c r="S43">
        <v>1292</v>
      </c>
      <c r="T43">
        <v>37</v>
      </c>
      <c r="U43">
        <v>2.3921651765704099E-2</v>
      </c>
      <c r="V43">
        <v>8.8322283700108008E-3</v>
      </c>
      <c r="W43">
        <v>5.0298077985644002E-3</v>
      </c>
      <c r="X43">
        <v>8.8376798667013003E-3</v>
      </c>
      <c r="Y43" t="s">
        <v>111</v>
      </c>
      <c r="Z43">
        <v>8.8376798667013003E-3</v>
      </c>
      <c r="AA43" t="str">
        <f t="shared" si="0"/>
        <v>On</v>
      </c>
      <c r="AB43" t="str">
        <f t="shared" si="1"/>
        <v>Off</v>
      </c>
      <c r="AC43" t="str">
        <f t="shared" si="2"/>
        <v>hidden_size=64+i_att_On+t_att_Off</v>
      </c>
    </row>
    <row r="44" spans="1:29" x14ac:dyDescent="0.45">
      <c r="A44" s="1">
        <v>46168</v>
      </c>
      <c r="B44" t="s">
        <v>98</v>
      </c>
      <c r="C44" t="s">
        <v>112</v>
      </c>
      <c r="D44">
        <v>5</v>
      </c>
      <c r="E44">
        <v>128</v>
      </c>
      <c r="F44" t="s">
        <v>28</v>
      </c>
      <c r="G44" t="s">
        <v>29</v>
      </c>
      <c r="H44">
        <v>48</v>
      </c>
      <c r="I44">
        <v>0</v>
      </c>
      <c r="J44" t="s">
        <v>30</v>
      </c>
      <c r="K44">
        <v>0.01</v>
      </c>
      <c r="L44" t="s">
        <v>31</v>
      </c>
      <c r="M44">
        <v>5</v>
      </c>
      <c r="N44" t="s">
        <v>28</v>
      </c>
      <c r="O44" t="s">
        <v>29</v>
      </c>
      <c r="P44">
        <v>48</v>
      </c>
      <c r="Q44">
        <v>128</v>
      </c>
      <c r="R44">
        <v>0</v>
      </c>
      <c r="S44">
        <v>1392</v>
      </c>
      <c r="T44">
        <v>40</v>
      </c>
      <c r="U44">
        <v>2.4166615679860101E-2</v>
      </c>
      <c r="V44">
        <v>1.1317834258079499E-2</v>
      </c>
      <c r="W44">
        <v>4.2829271405935001E-3</v>
      </c>
      <c r="X44">
        <v>1.13270214448372E-2</v>
      </c>
      <c r="Y44" t="s">
        <v>113</v>
      </c>
      <c r="Z44">
        <v>1.13270214448372E-2</v>
      </c>
      <c r="AA44" t="str">
        <f t="shared" si="0"/>
        <v>Off</v>
      </c>
      <c r="AB44" t="str">
        <f t="shared" si="1"/>
        <v>On</v>
      </c>
      <c r="AC44" t="str">
        <f t="shared" si="2"/>
        <v>hidden_size=48+i_att_Off+t_att_On</v>
      </c>
    </row>
    <row r="45" spans="1:29" x14ac:dyDescent="0.45">
      <c r="A45" s="1">
        <v>46168</v>
      </c>
      <c r="B45" t="s">
        <v>61</v>
      </c>
      <c r="C45" t="s">
        <v>114</v>
      </c>
      <c r="D45">
        <v>4</v>
      </c>
      <c r="E45">
        <v>128</v>
      </c>
      <c r="F45" t="s">
        <v>29</v>
      </c>
      <c r="G45" t="s">
        <v>28</v>
      </c>
      <c r="H45">
        <v>48</v>
      </c>
      <c r="I45">
        <v>0</v>
      </c>
      <c r="J45" t="s">
        <v>30</v>
      </c>
      <c r="K45">
        <v>0.01</v>
      </c>
      <c r="L45" t="s">
        <v>31</v>
      </c>
      <c r="M45">
        <v>4</v>
      </c>
      <c r="N45" t="s">
        <v>29</v>
      </c>
      <c r="O45" t="s">
        <v>28</v>
      </c>
      <c r="P45">
        <v>48</v>
      </c>
      <c r="Q45">
        <v>128</v>
      </c>
      <c r="R45">
        <v>0</v>
      </c>
      <c r="S45">
        <v>1396</v>
      </c>
      <c r="T45">
        <v>40</v>
      </c>
      <c r="U45">
        <v>2.42849076166749E-2</v>
      </c>
      <c r="V45">
        <v>8.8225649669765992E-3</v>
      </c>
      <c r="W45">
        <v>5.1541142165659999E-3</v>
      </c>
      <c r="X45">
        <v>8.8286200641757E-3</v>
      </c>
      <c r="Y45" t="s">
        <v>115</v>
      </c>
      <c r="Z45">
        <v>8.8286200641757E-3</v>
      </c>
      <c r="AA45" t="str">
        <f t="shared" si="0"/>
        <v>On</v>
      </c>
      <c r="AB45" t="str">
        <f t="shared" si="1"/>
        <v>Off</v>
      </c>
      <c r="AC45" t="str">
        <f t="shared" si="2"/>
        <v>hidden_size=48+i_att_On+t_att_Off</v>
      </c>
    </row>
    <row r="46" spans="1:29" x14ac:dyDescent="0.45">
      <c r="A46" s="1">
        <v>46168</v>
      </c>
      <c r="B46" t="s">
        <v>98</v>
      </c>
      <c r="C46" t="s">
        <v>116</v>
      </c>
      <c r="D46">
        <v>6</v>
      </c>
      <c r="E46">
        <v>128</v>
      </c>
      <c r="F46" t="s">
        <v>28</v>
      </c>
      <c r="G46" t="s">
        <v>29</v>
      </c>
      <c r="H46">
        <v>48</v>
      </c>
      <c r="I46">
        <v>0</v>
      </c>
      <c r="J46" t="s">
        <v>30</v>
      </c>
      <c r="K46">
        <v>0.01</v>
      </c>
      <c r="L46" t="s">
        <v>31</v>
      </c>
      <c r="M46">
        <v>6</v>
      </c>
      <c r="N46" t="s">
        <v>28</v>
      </c>
      <c r="O46" t="s">
        <v>29</v>
      </c>
      <c r="P46">
        <v>48</v>
      </c>
      <c r="Q46">
        <v>128</v>
      </c>
      <c r="R46">
        <v>0</v>
      </c>
      <c r="S46">
        <v>1476</v>
      </c>
      <c r="T46">
        <v>43</v>
      </c>
      <c r="U46">
        <v>2.4441970046609598E-2</v>
      </c>
      <c r="V46">
        <v>1.2346158735453999E-2</v>
      </c>
      <c r="W46">
        <v>4.0319371037185001E-3</v>
      </c>
      <c r="X46">
        <v>1.2378740124404399E-2</v>
      </c>
      <c r="Y46" t="s">
        <v>117</v>
      </c>
      <c r="Z46">
        <v>1.2378740124404399E-2</v>
      </c>
      <c r="AA46" t="str">
        <f t="shared" si="0"/>
        <v>Off</v>
      </c>
      <c r="AB46" t="str">
        <f t="shared" si="1"/>
        <v>On</v>
      </c>
      <c r="AC46" t="str">
        <f t="shared" si="2"/>
        <v>hidden_size=48+i_att_Off+t_att_On</v>
      </c>
    </row>
    <row r="47" spans="1:29" x14ac:dyDescent="0.45">
      <c r="A47" s="1">
        <v>46168</v>
      </c>
      <c r="B47" t="s">
        <v>98</v>
      </c>
      <c r="C47" t="s">
        <v>118</v>
      </c>
      <c r="D47">
        <v>5</v>
      </c>
      <c r="E47">
        <v>128</v>
      </c>
      <c r="F47" t="s">
        <v>29</v>
      </c>
      <c r="G47" t="s">
        <v>29</v>
      </c>
      <c r="H47">
        <v>48</v>
      </c>
      <c r="I47">
        <v>0</v>
      </c>
      <c r="J47" t="s">
        <v>30</v>
      </c>
      <c r="K47">
        <v>0.01</v>
      </c>
      <c r="L47" t="s">
        <v>31</v>
      </c>
      <c r="M47">
        <v>5</v>
      </c>
      <c r="N47" t="s">
        <v>29</v>
      </c>
      <c r="O47" t="s">
        <v>29</v>
      </c>
      <c r="P47">
        <v>48</v>
      </c>
      <c r="Q47">
        <v>128</v>
      </c>
      <c r="R47">
        <v>0</v>
      </c>
      <c r="S47">
        <v>1396</v>
      </c>
      <c r="T47">
        <v>40</v>
      </c>
      <c r="U47">
        <v>2.5275783613324099E-2</v>
      </c>
      <c r="V47">
        <v>1.14300781860947E-2</v>
      </c>
      <c r="W47">
        <v>4.6152351424097997E-3</v>
      </c>
      <c r="X47">
        <v>1.1440223703781701E-2</v>
      </c>
      <c r="Y47" t="s">
        <v>119</v>
      </c>
      <c r="Z47">
        <v>1.1440223703781701E-2</v>
      </c>
      <c r="AA47" t="str">
        <f t="shared" si="0"/>
        <v>On</v>
      </c>
      <c r="AB47" t="str">
        <f t="shared" si="1"/>
        <v>On</v>
      </c>
      <c r="AC47" t="str">
        <f t="shared" si="2"/>
        <v>hidden_size=48+i_att_On+t_att_On</v>
      </c>
    </row>
    <row r="48" spans="1:29" x14ac:dyDescent="0.45">
      <c r="A48" s="1">
        <v>46168</v>
      </c>
      <c r="B48" t="s">
        <v>98</v>
      </c>
      <c r="C48" t="s">
        <v>120</v>
      </c>
      <c r="D48">
        <v>6</v>
      </c>
      <c r="E48">
        <v>128</v>
      </c>
      <c r="F48" t="s">
        <v>28</v>
      </c>
      <c r="G48" t="s">
        <v>28</v>
      </c>
      <c r="H48">
        <v>64</v>
      </c>
      <c r="I48">
        <v>0</v>
      </c>
      <c r="J48" t="s">
        <v>30</v>
      </c>
      <c r="K48">
        <v>0.01</v>
      </c>
      <c r="L48" t="s">
        <v>31</v>
      </c>
      <c r="M48">
        <v>6</v>
      </c>
      <c r="N48" t="s">
        <v>28</v>
      </c>
      <c r="O48" t="s">
        <v>28</v>
      </c>
      <c r="P48">
        <v>64</v>
      </c>
      <c r="Q48">
        <v>128</v>
      </c>
      <c r="R48">
        <v>0</v>
      </c>
      <c r="S48">
        <v>1460</v>
      </c>
      <c r="T48">
        <v>42</v>
      </c>
      <c r="U48">
        <v>2.5516316294670102E-2</v>
      </c>
      <c r="V48">
        <v>1.24683668836951E-2</v>
      </c>
      <c r="W48">
        <v>4.3493164703249003E-3</v>
      </c>
      <c r="X48">
        <v>1.2500289310183699E-2</v>
      </c>
      <c r="Y48" t="s">
        <v>121</v>
      </c>
      <c r="Z48">
        <v>1.2500289310183699E-2</v>
      </c>
      <c r="AA48" t="str">
        <f t="shared" si="0"/>
        <v>Off</v>
      </c>
      <c r="AB48" t="str">
        <f t="shared" si="1"/>
        <v>Off</v>
      </c>
      <c r="AC48" t="str">
        <f t="shared" si="2"/>
        <v>hidden_size=64+i_att_Off+t_att_Off</v>
      </c>
    </row>
    <row r="49" spans="1:29" x14ac:dyDescent="0.45">
      <c r="A49" s="1">
        <v>46168</v>
      </c>
      <c r="B49" t="s">
        <v>98</v>
      </c>
      <c r="C49" t="s">
        <v>122</v>
      </c>
      <c r="D49">
        <v>6</v>
      </c>
      <c r="E49">
        <v>128</v>
      </c>
      <c r="F49" t="s">
        <v>29</v>
      </c>
      <c r="G49" t="s">
        <v>29</v>
      </c>
      <c r="H49">
        <v>48</v>
      </c>
      <c r="I49">
        <v>0</v>
      </c>
      <c r="J49" t="s">
        <v>30</v>
      </c>
      <c r="K49">
        <v>0.01</v>
      </c>
      <c r="L49" t="s">
        <v>31</v>
      </c>
      <c r="M49">
        <v>6</v>
      </c>
      <c r="N49" t="s">
        <v>29</v>
      </c>
      <c r="O49" t="s">
        <v>29</v>
      </c>
      <c r="P49">
        <v>48</v>
      </c>
      <c r="Q49">
        <v>128</v>
      </c>
      <c r="R49">
        <v>0</v>
      </c>
      <c r="S49">
        <v>1480</v>
      </c>
      <c r="T49">
        <v>43</v>
      </c>
      <c r="U49">
        <v>2.5614428333938101E-2</v>
      </c>
      <c r="V49">
        <v>1.2672308832406901E-2</v>
      </c>
      <c r="W49">
        <v>4.3140398338437002E-3</v>
      </c>
      <c r="X49">
        <v>1.27057621462477E-2</v>
      </c>
      <c r="Y49" t="s">
        <v>123</v>
      </c>
      <c r="Z49">
        <v>1.27057621462477E-2</v>
      </c>
      <c r="AA49" t="str">
        <f t="shared" si="0"/>
        <v>On</v>
      </c>
      <c r="AB49" t="str">
        <f t="shared" si="1"/>
        <v>On</v>
      </c>
      <c r="AC49" t="str">
        <f t="shared" si="2"/>
        <v>hidden_size=48+i_att_On+t_att_On</v>
      </c>
    </row>
    <row r="50" spans="1:29" x14ac:dyDescent="0.45">
      <c r="A50" s="1">
        <v>46168</v>
      </c>
      <c r="B50" t="s">
        <v>98</v>
      </c>
      <c r="C50" t="s">
        <v>124</v>
      </c>
      <c r="D50">
        <v>5</v>
      </c>
      <c r="E50">
        <v>128</v>
      </c>
      <c r="F50" t="s">
        <v>29</v>
      </c>
      <c r="G50" t="s">
        <v>29</v>
      </c>
      <c r="H50">
        <v>32</v>
      </c>
      <c r="I50">
        <v>0</v>
      </c>
      <c r="J50" t="s">
        <v>30</v>
      </c>
      <c r="K50">
        <v>0.01</v>
      </c>
      <c r="L50" t="s">
        <v>31</v>
      </c>
      <c r="M50">
        <v>5</v>
      </c>
      <c r="N50" t="s">
        <v>29</v>
      </c>
      <c r="O50" t="s">
        <v>29</v>
      </c>
      <c r="P50">
        <v>32</v>
      </c>
      <c r="Q50">
        <v>128</v>
      </c>
      <c r="R50">
        <v>0</v>
      </c>
      <c r="S50">
        <v>1244</v>
      </c>
      <c r="T50">
        <v>36</v>
      </c>
      <c r="U50">
        <v>2.5658996310084999E-2</v>
      </c>
      <c r="V50">
        <v>1.2157492339611E-2</v>
      </c>
      <c r="W50">
        <v>4.5005013234913002E-3</v>
      </c>
      <c r="X50">
        <v>1.2180427606734901E-2</v>
      </c>
      <c r="Y50" t="s">
        <v>125</v>
      </c>
      <c r="Z50">
        <v>1.2180427606734901E-2</v>
      </c>
      <c r="AA50" t="str">
        <f t="shared" si="0"/>
        <v>On</v>
      </c>
      <c r="AB50" t="str">
        <f t="shared" si="1"/>
        <v>On</v>
      </c>
      <c r="AC50" t="str">
        <f t="shared" si="2"/>
        <v>hidden_size=32+i_att_On+t_att_On</v>
      </c>
    </row>
    <row r="51" spans="1:29" x14ac:dyDescent="0.45">
      <c r="A51" s="1">
        <v>46168</v>
      </c>
      <c r="B51" t="s">
        <v>98</v>
      </c>
      <c r="C51" t="s">
        <v>126</v>
      </c>
      <c r="D51">
        <v>6</v>
      </c>
      <c r="E51">
        <v>128</v>
      </c>
      <c r="F51" t="s">
        <v>29</v>
      </c>
      <c r="G51" t="s">
        <v>29</v>
      </c>
      <c r="H51">
        <v>64</v>
      </c>
      <c r="I51">
        <v>0</v>
      </c>
      <c r="J51" t="s">
        <v>30</v>
      </c>
      <c r="K51">
        <v>0.01</v>
      </c>
      <c r="L51" t="s">
        <v>31</v>
      </c>
      <c r="M51">
        <v>6</v>
      </c>
      <c r="N51" t="s">
        <v>29</v>
      </c>
      <c r="O51" t="s">
        <v>29</v>
      </c>
      <c r="P51">
        <v>64</v>
      </c>
      <c r="Q51">
        <v>128</v>
      </c>
      <c r="R51">
        <v>0</v>
      </c>
      <c r="S51">
        <v>1500</v>
      </c>
      <c r="T51">
        <v>43</v>
      </c>
      <c r="U51">
        <v>2.5696449447423199E-2</v>
      </c>
      <c r="V51">
        <v>1.25739835202693E-2</v>
      </c>
      <c r="W51">
        <v>4.3741553090511998E-3</v>
      </c>
      <c r="X51">
        <v>1.26052539174755E-2</v>
      </c>
      <c r="Y51" t="s">
        <v>127</v>
      </c>
      <c r="Z51">
        <v>1.26052539174755E-2</v>
      </c>
      <c r="AA51" t="str">
        <f t="shared" si="0"/>
        <v>On</v>
      </c>
      <c r="AB51" t="str">
        <f t="shared" si="1"/>
        <v>On</v>
      </c>
      <c r="AC51" t="str">
        <f t="shared" si="2"/>
        <v>hidden_size=64+i_att_On+t_att_On</v>
      </c>
    </row>
    <row r="52" spans="1:29" x14ac:dyDescent="0.45">
      <c r="A52" s="1">
        <v>46168</v>
      </c>
      <c r="B52" t="s">
        <v>98</v>
      </c>
      <c r="C52" t="s">
        <v>128</v>
      </c>
      <c r="D52">
        <v>6</v>
      </c>
      <c r="E52">
        <v>128</v>
      </c>
      <c r="F52" t="s">
        <v>28</v>
      </c>
      <c r="G52" t="s">
        <v>28</v>
      </c>
      <c r="H52">
        <v>48</v>
      </c>
      <c r="I52">
        <v>0</v>
      </c>
      <c r="J52" t="s">
        <v>30</v>
      </c>
      <c r="K52">
        <v>0.01</v>
      </c>
      <c r="L52" t="s">
        <v>31</v>
      </c>
      <c r="M52">
        <v>6</v>
      </c>
      <c r="N52" t="s">
        <v>28</v>
      </c>
      <c r="O52" t="s">
        <v>28</v>
      </c>
      <c r="P52">
        <v>48</v>
      </c>
      <c r="Q52">
        <v>128</v>
      </c>
      <c r="R52">
        <v>0</v>
      </c>
      <c r="S52">
        <v>1352</v>
      </c>
      <c r="T52">
        <v>39</v>
      </c>
      <c r="U52">
        <v>2.5886102113872701E-2</v>
      </c>
      <c r="V52">
        <v>1.24815180897712E-2</v>
      </c>
      <c r="W52">
        <v>4.4681946747003997E-3</v>
      </c>
      <c r="X52">
        <v>1.2513194957541E-2</v>
      </c>
      <c r="Y52" t="s">
        <v>129</v>
      </c>
      <c r="Z52">
        <v>1.2513194957541E-2</v>
      </c>
      <c r="AA52" t="str">
        <f t="shared" si="0"/>
        <v>Off</v>
      </c>
      <c r="AB52" t="str">
        <f t="shared" si="1"/>
        <v>Off</v>
      </c>
      <c r="AC52" t="str">
        <f t="shared" si="2"/>
        <v>hidden_size=48+i_att_Off+t_att_Off</v>
      </c>
    </row>
    <row r="53" spans="1:29" x14ac:dyDescent="0.45">
      <c r="A53" s="1">
        <v>46168</v>
      </c>
      <c r="B53" t="s">
        <v>98</v>
      </c>
      <c r="C53" t="s">
        <v>130</v>
      </c>
      <c r="D53">
        <v>5</v>
      </c>
      <c r="E53">
        <v>128</v>
      </c>
      <c r="F53" t="s">
        <v>28</v>
      </c>
      <c r="G53" t="s">
        <v>28</v>
      </c>
      <c r="H53">
        <v>64</v>
      </c>
      <c r="I53">
        <v>0</v>
      </c>
      <c r="J53" t="s">
        <v>30</v>
      </c>
      <c r="K53">
        <v>0.01</v>
      </c>
      <c r="L53" t="s">
        <v>31</v>
      </c>
      <c r="M53">
        <v>5</v>
      </c>
      <c r="N53" t="s">
        <v>28</v>
      </c>
      <c r="O53" t="s">
        <v>28</v>
      </c>
      <c r="P53">
        <v>64</v>
      </c>
      <c r="Q53">
        <v>128</v>
      </c>
      <c r="R53">
        <v>0</v>
      </c>
      <c r="S53">
        <v>1400</v>
      </c>
      <c r="T53">
        <v>40</v>
      </c>
      <c r="U53">
        <v>2.59138904511928E-2</v>
      </c>
      <c r="V53">
        <v>1.16513613611459E-2</v>
      </c>
      <c r="W53">
        <v>4.7541763633489002E-3</v>
      </c>
      <c r="X53">
        <v>1.16560381526748E-2</v>
      </c>
      <c r="Y53" s="2">
        <v>574.24465999999995</v>
      </c>
      <c r="Z53">
        <v>1.16560381526748E-2</v>
      </c>
      <c r="AA53" t="str">
        <f t="shared" si="0"/>
        <v>Off</v>
      </c>
      <c r="AB53" t="str">
        <f t="shared" si="1"/>
        <v>Off</v>
      </c>
      <c r="AC53" t="str">
        <f t="shared" si="2"/>
        <v>hidden_size=64+i_att_Off+t_att_Off</v>
      </c>
    </row>
    <row r="54" spans="1:29" x14ac:dyDescent="0.45">
      <c r="A54" s="1">
        <v>46168</v>
      </c>
      <c r="B54" t="s">
        <v>98</v>
      </c>
      <c r="C54" t="s">
        <v>131</v>
      </c>
      <c r="D54">
        <v>5</v>
      </c>
      <c r="E54">
        <v>128</v>
      </c>
      <c r="F54" t="s">
        <v>28</v>
      </c>
      <c r="G54" t="s">
        <v>28</v>
      </c>
      <c r="H54">
        <v>48</v>
      </c>
      <c r="I54">
        <v>0</v>
      </c>
      <c r="J54" t="s">
        <v>30</v>
      </c>
      <c r="K54">
        <v>0.01</v>
      </c>
      <c r="L54" t="s">
        <v>31</v>
      </c>
      <c r="M54">
        <v>5</v>
      </c>
      <c r="N54" t="s">
        <v>28</v>
      </c>
      <c r="O54" t="s">
        <v>28</v>
      </c>
      <c r="P54">
        <v>48</v>
      </c>
      <c r="Q54">
        <v>128</v>
      </c>
      <c r="R54">
        <v>0</v>
      </c>
      <c r="S54">
        <v>1400</v>
      </c>
      <c r="T54">
        <v>40</v>
      </c>
      <c r="U54">
        <v>2.6145894546061699E-2</v>
      </c>
      <c r="V54">
        <v>1.1853219941258399E-2</v>
      </c>
      <c r="W54">
        <v>4.7642248682677E-3</v>
      </c>
      <c r="X54">
        <v>1.18645926316579E-2</v>
      </c>
      <c r="Y54" s="2">
        <v>-9.9053699999999996</v>
      </c>
      <c r="Z54">
        <v>1.18645926316579E-2</v>
      </c>
      <c r="AA54" t="str">
        <f t="shared" si="0"/>
        <v>Off</v>
      </c>
      <c r="AB54" t="str">
        <f t="shared" si="1"/>
        <v>Off</v>
      </c>
      <c r="AC54" t="str">
        <f t="shared" si="2"/>
        <v>hidden_size=48+i_att_Off+t_att_Off</v>
      </c>
    </row>
    <row r="55" spans="1:29" x14ac:dyDescent="0.45">
      <c r="A55" s="1">
        <v>46168</v>
      </c>
      <c r="B55" t="s">
        <v>98</v>
      </c>
      <c r="C55" t="s">
        <v>132</v>
      </c>
      <c r="D55">
        <v>5</v>
      </c>
      <c r="E55">
        <v>128</v>
      </c>
      <c r="F55" t="s">
        <v>29</v>
      </c>
      <c r="G55" t="s">
        <v>28</v>
      </c>
      <c r="H55">
        <v>64</v>
      </c>
      <c r="I55">
        <v>0</v>
      </c>
      <c r="J55" t="s">
        <v>30</v>
      </c>
      <c r="K55">
        <v>0.01</v>
      </c>
      <c r="L55" t="s">
        <v>31</v>
      </c>
      <c r="M55">
        <v>5</v>
      </c>
      <c r="N55" t="s">
        <v>29</v>
      </c>
      <c r="O55" t="s">
        <v>28</v>
      </c>
      <c r="P55">
        <v>64</v>
      </c>
      <c r="Q55">
        <v>128</v>
      </c>
      <c r="R55">
        <v>0</v>
      </c>
      <c r="S55">
        <v>1356</v>
      </c>
      <c r="T55">
        <v>39</v>
      </c>
      <c r="U55">
        <v>2.7091844007372801E-2</v>
      </c>
      <c r="V55">
        <v>1.25169716775417E-2</v>
      </c>
      <c r="W55">
        <v>4.8582907766102999E-3</v>
      </c>
      <c r="X55">
        <v>1.25206339483459E-2</v>
      </c>
      <c r="Y55" t="s">
        <v>133</v>
      </c>
      <c r="Z55">
        <v>1.25206339483459E-2</v>
      </c>
      <c r="AA55" t="str">
        <f t="shared" si="0"/>
        <v>On</v>
      </c>
      <c r="AB55" t="str">
        <f t="shared" si="1"/>
        <v>Off</v>
      </c>
      <c r="AC55" t="str">
        <f t="shared" si="2"/>
        <v>hidden_size=64+i_att_On+t_att_Off</v>
      </c>
    </row>
    <row r="56" spans="1:29" x14ac:dyDescent="0.45">
      <c r="A56" s="1">
        <v>46168</v>
      </c>
      <c r="B56" t="s">
        <v>98</v>
      </c>
      <c r="C56" t="s">
        <v>134</v>
      </c>
      <c r="D56">
        <v>5</v>
      </c>
      <c r="E56">
        <v>128</v>
      </c>
      <c r="F56" t="s">
        <v>29</v>
      </c>
      <c r="G56" t="s">
        <v>29</v>
      </c>
      <c r="H56">
        <v>64</v>
      </c>
      <c r="I56">
        <v>0</v>
      </c>
      <c r="J56" t="s">
        <v>30</v>
      </c>
      <c r="K56">
        <v>0.01</v>
      </c>
      <c r="L56" t="s">
        <v>31</v>
      </c>
      <c r="M56">
        <v>5</v>
      </c>
      <c r="N56" t="s">
        <v>29</v>
      </c>
      <c r="O56" t="s">
        <v>29</v>
      </c>
      <c r="P56">
        <v>64</v>
      </c>
      <c r="Q56">
        <v>128</v>
      </c>
      <c r="R56">
        <v>0</v>
      </c>
      <c r="S56">
        <v>1244</v>
      </c>
      <c r="T56">
        <v>36</v>
      </c>
      <c r="U56">
        <v>2.72151376120746E-2</v>
      </c>
      <c r="V56">
        <v>1.1812455952167501E-2</v>
      </c>
      <c r="W56">
        <v>5.1342272199690004E-3</v>
      </c>
      <c r="X56">
        <v>1.1833038181066499E-2</v>
      </c>
      <c r="Y56" t="s">
        <v>135</v>
      </c>
      <c r="Z56">
        <v>1.1833038181066499E-2</v>
      </c>
      <c r="AA56" t="str">
        <f t="shared" si="0"/>
        <v>On</v>
      </c>
      <c r="AB56" t="str">
        <f t="shared" si="1"/>
        <v>On</v>
      </c>
      <c r="AC56" t="str">
        <f t="shared" si="2"/>
        <v>hidden_size=64+i_att_On+t_att_On</v>
      </c>
    </row>
    <row r="57" spans="1:29" x14ac:dyDescent="0.45">
      <c r="A57" s="1">
        <v>46168</v>
      </c>
      <c r="B57" t="s">
        <v>98</v>
      </c>
      <c r="C57" t="s">
        <v>136</v>
      </c>
      <c r="D57">
        <v>6</v>
      </c>
      <c r="E57">
        <v>128</v>
      </c>
      <c r="F57" t="s">
        <v>28</v>
      </c>
      <c r="G57" t="s">
        <v>28</v>
      </c>
      <c r="H57">
        <v>32</v>
      </c>
      <c r="I57">
        <v>0</v>
      </c>
      <c r="J57" t="s">
        <v>30</v>
      </c>
      <c r="K57">
        <v>0.01</v>
      </c>
      <c r="L57" t="s">
        <v>31</v>
      </c>
      <c r="M57">
        <v>6</v>
      </c>
      <c r="N57" t="s">
        <v>28</v>
      </c>
      <c r="O57" t="s">
        <v>28</v>
      </c>
      <c r="P57">
        <v>32</v>
      </c>
      <c r="Q57">
        <v>128</v>
      </c>
      <c r="R57">
        <v>0</v>
      </c>
      <c r="S57">
        <v>1348</v>
      </c>
      <c r="T57">
        <v>39</v>
      </c>
      <c r="U57">
        <v>2.79145408421754E-2</v>
      </c>
      <c r="V57">
        <v>1.29442187026143E-2</v>
      </c>
      <c r="W57">
        <v>4.9901073798537003E-3</v>
      </c>
      <c r="X57">
        <v>1.2980828786061801E-2</v>
      </c>
      <c r="Y57" t="s">
        <v>137</v>
      </c>
      <c r="Z57">
        <v>1.2980828786061801E-2</v>
      </c>
      <c r="AA57" t="str">
        <f t="shared" si="0"/>
        <v>Off</v>
      </c>
      <c r="AB57" t="str">
        <f t="shared" si="1"/>
        <v>Off</v>
      </c>
      <c r="AC57" t="str">
        <f t="shared" si="2"/>
        <v>hidden_size=32+i_att_Off+t_att_Off</v>
      </c>
    </row>
    <row r="58" spans="1:29" x14ac:dyDescent="0.45">
      <c r="A58" s="1">
        <v>46168</v>
      </c>
      <c r="B58" t="s">
        <v>98</v>
      </c>
      <c r="C58" t="s">
        <v>138</v>
      </c>
      <c r="D58">
        <v>6</v>
      </c>
      <c r="E58">
        <v>128</v>
      </c>
      <c r="F58" t="s">
        <v>29</v>
      </c>
      <c r="G58" t="s">
        <v>28</v>
      </c>
      <c r="H58">
        <v>64</v>
      </c>
      <c r="I58">
        <v>0</v>
      </c>
      <c r="J58" t="s">
        <v>30</v>
      </c>
      <c r="K58">
        <v>0.01</v>
      </c>
      <c r="L58" t="s">
        <v>31</v>
      </c>
      <c r="M58">
        <v>6</v>
      </c>
      <c r="N58" t="s">
        <v>29</v>
      </c>
      <c r="O58" t="s">
        <v>28</v>
      </c>
      <c r="P58">
        <v>64</v>
      </c>
      <c r="Q58">
        <v>128</v>
      </c>
      <c r="R58">
        <v>0</v>
      </c>
      <c r="S58">
        <v>1352</v>
      </c>
      <c r="T58">
        <v>39</v>
      </c>
      <c r="U58">
        <v>2.8313199989497599E-2</v>
      </c>
      <c r="V58">
        <v>1.3232915662229E-2</v>
      </c>
      <c r="W58">
        <v>5.0267614424228E-3</v>
      </c>
      <c r="X58">
        <v>1.3270188743869401E-2</v>
      </c>
      <c r="Y58" t="s">
        <v>139</v>
      </c>
      <c r="Z58">
        <v>1.3270188743869401E-2</v>
      </c>
      <c r="AA58" t="str">
        <f t="shared" si="0"/>
        <v>On</v>
      </c>
      <c r="AB58" t="str">
        <f t="shared" si="1"/>
        <v>Off</v>
      </c>
      <c r="AC58" t="str">
        <f t="shared" si="2"/>
        <v>hidden_size=64+i_att_On+t_att_Off</v>
      </c>
    </row>
    <row r="59" spans="1:29" x14ac:dyDescent="0.45">
      <c r="A59" s="1">
        <v>46168</v>
      </c>
      <c r="B59" t="s">
        <v>61</v>
      </c>
      <c r="C59" t="s">
        <v>140</v>
      </c>
      <c r="D59">
        <v>4</v>
      </c>
      <c r="E59">
        <v>128</v>
      </c>
      <c r="F59" t="s">
        <v>29</v>
      </c>
      <c r="G59" t="s">
        <v>28</v>
      </c>
      <c r="H59">
        <v>32</v>
      </c>
      <c r="I59">
        <v>0</v>
      </c>
      <c r="J59" t="s">
        <v>30</v>
      </c>
      <c r="K59">
        <v>0.01</v>
      </c>
      <c r="L59" t="s">
        <v>31</v>
      </c>
      <c r="M59">
        <v>4</v>
      </c>
      <c r="N59" t="s">
        <v>29</v>
      </c>
      <c r="O59" t="s">
        <v>28</v>
      </c>
      <c r="P59">
        <v>32</v>
      </c>
      <c r="Q59">
        <v>128</v>
      </c>
      <c r="R59">
        <v>0</v>
      </c>
      <c r="S59">
        <v>1448</v>
      </c>
      <c r="T59">
        <v>42</v>
      </c>
      <c r="U59">
        <v>2.8479755390435402E-2</v>
      </c>
      <c r="V59">
        <v>9.4454940408468004E-3</v>
      </c>
      <c r="W59">
        <v>6.3447537831961996E-3</v>
      </c>
      <c r="X59">
        <v>9.4523904845118002E-3</v>
      </c>
      <c r="Y59" t="s">
        <v>141</v>
      </c>
      <c r="Z59">
        <v>9.4523904845118002E-3</v>
      </c>
      <c r="AA59" t="str">
        <f t="shared" si="0"/>
        <v>On</v>
      </c>
      <c r="AB59" t="str">
        <f t="shared" si="1"/>
        <v>Off</v>
      </c>
      <c r="AC59" t="str">
        <f t="shared" si="2"/>
        <v>hidden_size=32+i_att_On+t_att_Off</v>
      </c>
    </row>
    <row r="60" spans="1:29" x14ac:dyDescent="0.45">
      <c r="A60" s="1">
        <v>46168</v>
      </c>
      <c r="B60" t="s">
        <v>98</v>
      </c>
      <c r="C60" t="s">
        <v>142</v>
      </c>
      <c r="D60">
        <v>6</v>
      </c>
      <c r="E60">
        <v>128</v>
      </c>
      <c r="F60" t="s">
        <v>29</v>
      </c>
      <c r="G60" t="s">
        <v>29</v>
      </c>
      <c r="H60">
        <v>32</v>
      </c>
      <c r="I60">
        <v>0</v>
      </c>
      <c r="J60" t="s">
        <v>30</v>
      </c>
      <c r="K60">
        <v>0.01</v>
      </c>
      <c r="L60" t="s">
        <v>31</v>
      </c>
      <c r="M60">
        <v>6</v>
      </c>
      <c r="N60" t="s">
        <v>29</v>
      </c>
      <c r="O60" t="s">
        <v>29</v>
      </c>
      <c r="P60">
        <v>32</v>
      </c>
      <c r="Q60">
        <v>128</v>
      </c>
      <c r="R60">
        <v>0</v>
      </c>
      <c r="S60">
        <v>1436</v>
      </c>
      <c r="T60">
        <v>42</v>
      </c>
      <c r="U60">
        <v>2.8695257380604699E-2</v>
      </c>
      <c r="V60">
        <v>1.32980225607752E-2</v>
      </c>
      <c r="W60">
        <v>5.1324116066097996E-3</v>
      </c>
      <c r="X60">
        <v>1.33343510743644E-2</v>
      </c>
      <c r="Y60" t="s">
        <v>143</v>
      </c>
      <c r="Z60">
        <v>1.33343510743644E-2</v>
      </c>
      <c r="AA60" t="str">
        <f t="shared" si="0"/>
        <v>On</v>
      </c>
      <c r="AB60" t="str">
        <f t="shared" si="1"/>
        <v>On</v>
      </c>
      <c r="AC60" t="str">
        <f t="shared" si="2"/>
        <v>hidden_size=32+i_att_On+t_att_On</v>
      </c>
    </row>
    <row r="61" spans="1:29" x14ac:dyDescent="0.45">
      <c r="A61" s="1">
        <v>46168</v>
      </c>
      <c r="B61" t="s">
        <v>98</v>
      </c>
      <c r="C61" t="s">
        <v>144</v>
      </c>
      <c r="D61">
        <v>6</v>
      </c>
      <c r="E61">
        <v>128</v>
      </c>
      <c r="F61" t="s">
        <v>28</v>
      </c>
      <c r="G61" t="s">
        <v>29</v>
      </c>
      <c r="H61">
        <v>32</v>
      </c>
      <c r="I61">
        <v>0</v>
      </c>
      <c r="J61" t="s">
        <v>30</v>
      </c>
      <c r="K61">
        <v>0.01</v>
      </c>
      <c r="L61" t="s">
        <v>31</v>
      </c>
      <c r="M61">
        <v>6</v>
      </c>
      <c r="N61" t="s">
        <v>28</v>
      </c>
      <c r="O61" t="s">
        <v>29</v>
      </c>
      <c r="P61">
        <v>32</v>
      </c>
      <c r="Q61">
        <v>128</v>
      </c>
      <c r="R61">
        <v>0</v>
      </c>
      <c r="S61">
        <v>1480</v>
      </c>
      <c r="T61">
        <v>43</v>
      </c>
      <c r="U61">
        <v>2.9100990854203701E-2</v>
      </c>
      <c r="V61">
        <v>1.2813511304557299E-2</v>
      </c>
      <c r="W61">
        <v>5.4291598498820998E-3</v>
      </c>
      <c r="X61">
        <v>1.2849723092383801E-2</v>
      </c>
      <c r="Y61" t="s">
        <v>145</v>
      </c>
      <c r="Z61">
        <v>1.2849723092383801E-2</v>
      </c>
      <c r="AA61" t="str">
        <f t="shared" si="0"/>
        <v>Off</v>
      </c>
      <c r="AB61" t="str">
        <f t="shared" si="1"/>
        <v>On</v>
      </c>
      <c r="AC61" t="str">
        <f t="shared" si="2"/>
        <v>hidden_size=32+i_att_Off+t_att_On</v>
      </c>
    </row>
    <row r="62" spans="1:29" x14ac:dyDescent="0.45">
      <c r="A62" s="1">
        <v>46168</v>
      </c>
      <c r="B62" t="s">
        <v>98</v>
      </c>
      <c r="C62" t="s">
        <v>146</v>
      </c>
      <c r="D62">
        <v>6</v>
      </c>
      <c r="E62">
        <v>128</v>
      </c>
      <c r="F62" t="s">
        <v>29</v>
      </c>
      <c r="G62" t="s">
        <v>28</v>
      </c>
      <c r="H62">
        <v>48</v>
      </c>
      <c r="I62">
        <v>0</v>
      </c>
      <c r="J62" t="s">
        <v>30</v>
      </c>
      <c r="K62">
        <v>0.01</v>
      </c>
      <c r="L62" t="s">
        <v>31</v>
      </c>
      <c r="M62">
        <v>6</v>
      </c>
      <c r="N62" t="s">
        <v>29</v>
      </c>
      <c r="O62" t="s">
        <v>28</v>
      </c>
      <c r="P62">
        <v>48</v>
      </c>
      <c r="Q62">
        <v>128</v>
      </c>
      <c r="R62">
        <v>0</v>
      </c>
      <c r="S62">
        <v>1504</v>
      </c>
      <c r="T62">
        <v>43</v>
      </c>
      <c r="U62">
        <v>2.9350681696087101E-2</v>
      </c>
      <c r="V62">
        <v>1.3423262163996599E-2</v>
      </c>
      <c r="W62">
        <v>5.3091398440301002E-3</v>
      </c>
      <c r="X62">
        <v>1.34619614109396E-2</v>
      </c>
      <c r="Y62" t="s">
        <v>147</v>
      </c>
      <c r="Z62">
        <v>1.34619614109396E-2</v>
      </c>
      <c r="AA62" t="str">
        <f t="shared" si="0"/>
        <v>On</v>
      </c>
      <c r="AB62" t="str">
        <f t="shared" si="1"/>
        <v>Off</v>
      </c>
      <c r="AC62" t="str">
        <f t="shared" si="2"/>
        <v>hidden_size=48+i_att_On+t_att_Off</v>
      </c>
    </row>
    <row r="63" spans="1:29" x14ac:dyDescent="0.45">
      <c r="A63" s="1">
        <v>46168</v>
      </c>
      <c r="B63" t="s">
        <v>26</v>
      </c>
      <c r="C63" t="s">
        <v>148</v>
      </c>
      <c r="D63">
        <v>1</v>
      </c>
      <c r="E63">
        <v>128</v>
      </c>
      <c r="F63" t="s">
        <v>28</v>
      </c>
      <c r="G63" t="s">
        <v>28</v>
      </c>
      <c r="H63">
        <v>32</v>
      </c>
      <c r="I63">
        <v>0</v>
      </c>
      <c r="J63" t="s">
        <v>30</v>
      </c>
      <c r="K63">
        <v>0.01</v>
      </c>
      <c r="L63" t="s">
        <v>31</v>
      </c>
      <c r="M63">
        <v>1</v>
      </c>
      <c r="N63" t="s">
        <v>28</v>
      </c>
      <c r="O63" t="s">
        <v>28</v>
      </c>
      <c r="P63">
        <v>32</v>
      </c>
      <c r="Q63">
        <v>128</v>
      </c>
      <c r="R63">
        <v>0</v>
      </c>
      <c r="S63">
        <v>1416</v>
      </c>
      <c r="T63">
        <v>41</v>
      </c>
      <c r="U63">
        <v>2.9551818966865501E-2</v>
      </c>
      <c r="V63">
        <v>7.0699201896785996E-3</v>
      </c>
      <c r="W63">
        <v>7.4939662590622E-3</v>
      </c>
      <c r="X63">
        <v>7.0803305651578E-3</v>
      </c>
      <c r="Y63" t="s">
        <v>149</v>
      </c>
      <c r="Z63">
        <v>7.0803305651578E-3</v>
      </c>
      <c r="AA63" t="str">
        <f t="shared" si="0"/>
        <v>Off</v>
      </c>
      <c r="AB63" t="str">
        <f t="shared" si="1"/>
        <v>Off</v>
      </c>
      <c r="AC63" t="str">
        <f t="shared" si="2"/>
        <v>hidden_size=32+i_att_Off+t_att_Off</v>
      </c>
    </row>
    <row r="64" spans="1:29" x14ac:dyDescent="0.45">
      <c r="A64" s="1">
        <v>46168</v>
      </c>
      <c r="B64" t="s">
        <v>98</v>
      </c>
      <c r="C64" t="s">
        <v>150</v>
      </c>
      <c r="D64">
        <v>6</v>
      </c>
      <c r="E64">
        <v>128</v>
      </c>
      <c r="F64" t="s">
        <v>29</v>
      </c>
      <c r="G64" t="s">
        <v>28</v>
      </c>
      <c r="H64">
        <v>32</v>
      </c>
      <c r="I64">
        <v>0</v>
      </c>
      <c r="J64" t="s">
        <v>30</v>
      </c>
      <c r="K64">
        <v>0.01</v>
      </c>
      <c r="L64" t="s">
        <v>31</v>
      </c>
      <c r="M64">
        <v>6</v>
      </c>
      <c r="N64" t="s">
        <v>29</v>
      </c>
      <c r="O64" t="s">
        <v>28</v>
      </c>
      <c r="P64">
        <v>32</v>
      </c>
      <c r="Q64">
        <v>128</v>
      </c>
      <c r="R64">
        <v>0</v>
      </c>
      <c r="S64">
        <v>1356</v>
      </c>
      <c r="T64">
        <v>39</v>
      </c>
      <c r="U64">
        <v>2.9721585102379301E-2</v>
      </c>
      <c r="V64">
        <v>1.34692201390862E-2</v>
      </c>
      <c r="W64">
        <v>5.4174549877643004E-3</v>
      </c>
      <c r="X64">
        <v>1.3507838878366599E-2</v>
      </c>
      <c r="Y64" s="2">
        <v>889.10594000000003</v>
      </c>
      <c r="Z64">
        <v>1.3507838878366599E-2</v>
      </c>
      <c r="AA64" t="str">
        <f t="shared" si="0"/>
        <v>On</v>
      </c>
      <c r="AB64" t="str">
        <f t="shared" si="1"/>
        <v>Off</v>
      </c>
      <c r="AC64" t="str">
        <f t="shared" si="2"/>
        <v>hidden_size=32+i_att_On+t_att_Off</v>
      </c>
    </row>
    <row r="65" spans="1:29" x14ac:dyDescent="0.45">
      <c r="A65" s="1">
        <v>46168</v>
      </c>
      <c r="B65" t="s">
        <v>26</v>
      </c>
      <c r="C65" t="s">
        <v>151</v>
      </c>
      <c r="D65">
        <v>1</v>
      </c>
      <c r="E65">
        <v>128</v>
      </c>
      <c r="F65" t="s">
        <v>29</v>
      </c>
      <c r="G65" t="s">
        <v>28</v>
      </c>
      <c r="H65">
        <v>32</v>
      </c>
      <c r="I65">
        <v>0</v>
      </c>
      <c r="J65" t="s">
        <v>30</v>
      </c>
      <c r="K65">
        <v>0.01</v>
      </c>
      <c r="L65" t="s">
        <v>31</v>
      </c>
      <c r="M65">
        <v>1</v>
      </c>
      <c r="N65" t="s">
        <v>29</v>
      </c>
      <c r="O65" t="s">
        <v>28</v>
      </c>
      <c r="P65">
        <v>32</v>
      </c>
      <c r="Q65">
        <v>128</v>
      </c>
      <c r="R65">
        <v>0</v>
      </c>
      <c r="S65">
        <v>1416</v>
      </c>
      <c r="T65">
        <v>41</v>
      </c>
      <c r="U65">
        <v>2.9737059958279102E-2</v>
      </c>
      <c r="V65">
        <v>7.7807609923182999E-3</v>
      </c>
      <c r="W65">
        <v>7.3187663219868998E-3</v>
      </c>
      <c r="X65">
        <v>7.7966032032336999E-3</v>
      </c>
      <c r="Y65" t="s">
        <v>152</v>
      </c>
      <c r="Z65">
        <v>7.7966032032336999E-3</v>
      </c>
      <c r="AA65" t="str">
        <f t="shared" si="0"/>
        <v>On</v>
      </c>
      <c r="AB65" t="str">
        <f t="shared" si="1"/>
        <v>Off</v>
      </c>
      <c r="AC65" t="str">
        <f t="shared" si="2"/>
        <v>hidden_size=32+i_att_On+t_att_Off</v>
      </c>
    </row>
    <row r="66" spans="1:29" x14ac:dyDescent="0.45">
      <c r="A66" s="1">
        <v>46168</v>
      </c>
      <c r="B66" t="s">
        <v>98</v>
      </c>
      <c r="C66" t="s">
        <v>153</v>
      </c>
      <c r="D66">
        <v>5</v>
      </c>
      <c r="E66">
        <v>128</v>
      </c>
      <c r="F66" t="s">
        <v>28</v>
      </c>
      <c r="G66" t="s">
        <v>28</v>
      </c>
      <c r="H66">
        <v>32</v>
      </c>
      <c r="I66">
        <v>0</v>
      </c>
      <c r="J66" t="s">
        <v>30</v>
      </c>
      <c r="K66">
        <v>0.01</v>
      </c>
      <c r="L66" t="s">
        <v>31</v>
      </c>
      <c r="M66">
        <v>5</v>
      </c>
      <c r="N66" t="s">
        <v>28</v>
      </c>
      <c r="O66" t="s">
        <v>28</v>
      </c>
      <c r="P66">
        <v>32</v>
      </c>
      <c r="Q66">
        <v>128</v>
      </c>
      <c r="R66">
        <v>0</v>
      </c>
      <c r="S66">
        <v>1304</v>
      </c>
      <c r="T66">
        <v>38</v>
      </c>
      <c r="U66">
        <v>2.9868676792830201E-2</v>
      </c>
      <c r="V66">
        <v>1.29004484042525E-2</v>
      </c>
      <c r="W66">
        <v>5.6560761295258999E-3</v>
      </c>
      <c r="X66">
        <v>1.2903040792379099E-2</v>
      </c>
      <c r="Y66" t="s">
        <v>154</v>
      </c>
      <c r="Z66">
        <v>1.2903040792379099E-2</v>
      </c>
      <c r="AA66" t="str">
        <f t="shared" si="0"/>
        <v>Off</v>
      </c>
      <c r="AB66" t="str">
        <f t="shared" si="1"/>
        <v>Off</v>
      </c>
      <c r="AC66" t="str">
        <f t="shared" si="2"/>
        <v>hidden_size=32+i_att_Off+t_att_Off</v>
      </c>
    </row>
    <row r="67" spans="1:29" x14ac:dyDescent="0.45">
      <c r="A67" s="1">
        <v>46168</v>
      </c>
      <c r="B67" t="s">
        <v>98</v>
      </c>
      <c r="C67" t="s">
        <v>155</v>
      </c>
      <c r="D67">
        <v>5</v>
      </c>
      <c r="E67">
        <v>128</v>
      </c>
      <c r="F67" t="s">
        <v>29</v>
      </c>
      <c r="G67" t="s">
        <v>28</v>
      </c>
      <c r="H67">
        <v>48</v>
      </c>
      <c r="I67">
        <v>0</v>
      </c>
      <c r="J67" t="s">
        <v>30</v>
      </c>
      <c r="K67">
        <v>0.01</v>
      </c>
      <c r="L67" t="s">
        <v>31</v>
      </c>
      <c r="M67">
        <v>5</v>
      </c>
      <c r="N67" t="s">
        <v>29</v>
      </c>
      <c r="O67" t="s">
        <v>28</v>
      </c>
      <c r="P67">
        <v>48</v>
      </c>
      <c r="Q67">
        <v>128</v>
      </c>
      <c r="R67">
        <v>0</v>
      </c>
      <c r="S67">
        <v>1180</v>
      </c>
      <c r="T67">
        <v>34</v>
      </c>
      <c r="U67">
        <v>3.0240188352763601E-2</v>
      </c>
      <c r="V67">
        <v>1.23830325901508E-2</v>
      </c>
      <c r="W67">
        <v>5.9523852542042004E-3</v>
      </c>
      <c r="X67">
        <v>1.23918723935882E-2</v>
      </c>
      <c r="Y67" t="s">
        <v>156</v>
      </c>
      <c r="Z67">
        <v>1.23918723935882E-2</v>
      </c>
      <c r="AA67" t="str">
        <f t="shared" ref="AA67:AA73" si="3">IF(N67="False","Off","On")</f>
        <v>On</v>
      </c>
      <c r="AB67" t="str">
        <f t="shared" ref="AB67:AB73" si="4">IF(O67="False","Off","On")</f>
        <v>Off</v>
      </c>
      <c r="AC67" t="str">
        <f t="shared" ref="AC67:AC73" si="5">_xlfn.CONCAT(P$1,"=",P67,"+",AA$1,AA67,"+",AB$1,AB67)</f>
        <v>hidden_size=48+i_att_On+t_att_Off</v>
      </c>
    </row>
    <row r="68" spans="1:29" x14ac:dyDescent="0.45">
      <c r="A68" s="1">
        <v>46168</v>
      </c>
      <c r="B68" t="s">
        <v>61</v>
      </c>
      <c r="C68" t="s">
        <v>157</v>
      </c>
      <c r="D68">
        <v>3</v>
      </c>
      <c r="E68">
        <v>128</v>
      </c>
      <c r="F68" t="s">
        <v>29</v>
      </c>
      <c r="G68" t="s">
        <v>28</v>
      </c>
      <c r="H68">
        <v>48</v>
      </c>
      <c r="I68">
        <v>0</v>
      </c>
      <c r="J68" t="s">
        <v>30</v>
      </c>
      <c r="K68">
        <v>0.01</v>
      </c>
      <c r="L68" t="s">
        <v>31</v>
      </c>
      <c r="M68">
        <v>3</v>
      </c>
      <c r="N68" t="s">
        <v>29</v>
      </c>
      <c r="O68" t="s">
        <v>28</v>
      </c>
      <c r="P68">
        <v>48</v>
      </c>
      <c r="Q68">
        <v>128</v>
      </c>
      <c r="R68">
        <v>0</v>
      </c>
      <c r="S68">
        <v>1500</v>
      </c>
      <c r="T68">
        <v>43</v>
      </c>
      <c r="U68">
        <v>3.0439666472375299E-2</v>
      </c>
      <c r="V68">
        <v>8.4765488281845994E-3</v>
      </c>
      <c r="W68">
        <v>7.3210392147302003E-3</v>
      </c>
      <c r="X68">
        <v>8.4789510712855003E-3</v>
      </c>
      <c r="Y68" t="s">
        <v>158</v>
      </c>
      <c r="Z68">
        <v>8.4789510712855003E-3</v>
      </c>
      <c r="AA68" t="str">
        <f t="shared" si="3"/>
        <v>On</v>
      </c>
      <c r="AB68" t="str">
        <f t="shared" si="4"/>
        <v>Off</v>
      </c>
      <c r="AC68" t="str">
        <f t="shared" si="5"/>
        <v>hidden_size=48+i_att_On+t_att_Off</v>
      </c>
    </row>
    <row r="69" spans="1:29" x14ac:dyDescent="0.45">
      <c r="A69" s="1">
        <v>46168</v>
      </c>
      <c r="B69" t="s">
        <v>98</v>
      </c>
      <c r="C69" t="s">
        <v>159</v>
      </c>
      <c r="D69">
        <v>5</v>
      </c>
      <c r="E69">
        <v>128</v>
      </c>
      <c r="F69" t="s">
        <v>28</v>
      </c>
      <c r="G69" t="s">
        <v>29</v>
      </c>
      <c r="H69">
        <v>32</v>
      </c>
      <c r="I69">
        <v>0</v>
      </c>
      <c r="J69" t="s">
        <v>30</v>
      </c>
      <c r="K69">
        <v>0.01</v>
      </c>
      <c r="L69" t="s">
        <v>31</v>
      </c>
      <c r="M69">
        <v>5</v>
      </c>
      <c r="N69" t="s">
        <v>28</v>
      </c>
      <c r="O69" t="s">
        <v>29</v>
      </c>
      <c r="P69">
        <v>32</v>
      </c>
      <c r="Q69">
        <v>128</v>
      </c>
      <c r="R69">
        <v>0</v>
      </c>
      <c r="S69">
        <v>1388</v>
      </c>
      <c r="T69">
        <v>40</v>
      </c>
      <c r="U69">
        <v>3.0678959563374499E-2</v>
      </c>
      <c r="V69">
        <v>1.27808302640914E-2</v>
      </c>
      <c r="W69">
        <v>5.9660430997609997E-3</v>
      </c>
      <c r="X69">
        <v>1.27880373555752E-2</v>
      </c>
      <c r="Y69" t="s">
        <v>160</v>
      </c>
      <c r="Z69">
        <v>1.27880373555752E-2</v>
      </c>
      <c r="AA69" t="str">
        <f t="shared" si="3"/>
        <v>Off</v>
      </c>
      <c r="AB69" t="str">
        <f t="shared" si="4"/>
        <v>On</v>
      </c>
      <c r="AC69" t="str">
        <f t="shared" si="5"/>
        <v>hidden_size=32+i_att_Off+t_att_On</v>
      </c>
    </row>
    <row r="70" spans="1:29" x14ac:dyDescent="0.45">
      <c r="A70" s="1">
        <v>46168</v>
      </c>
      <c r="B70" t="s">
        <v>61</v>
      </c>
      <c r="C70" t="s">
        <v>161</v>
      </c>
      <c r="D70">
        <v>3</v>
      </c>
      <c r="E70">
        <v>128</v>
      </c>
      <c r="F70" t="s">
        <v>29</v>
      </c>
      <c r="G70" t="s">
        <v>28</v>
      </c>
      <c r="H70">
        <v>64</v>
      </c>
      <c r="I70">
        <v>0</v>
      </c>
      <c r="J70" t="s">
        <v>30</v>
      </c>
      <c r="K70">
        <v>0.01</v>
      </c>
      <c r="L70" t="s">
        <v>31</v>
      </c>
      <c r="M70">
        <v>3</v>
      </c>
      <c r="N70" t="s">
        <v>29</v>
      </c>
      <c r="O70" t="s">
        <v>28</v>
      </c>
      <c r="P70">
        <v>64</v>
      </c>
      <c r="Q70">
        <v>128</v>
      </c>
      <c r="R70">
        <v>0</v>
      </c>
      <c r="S70">
        <v>1496</v>
      </c>
      <c r="T70">
        <v>43</v>
      </c>
      <c r="U70">
        <v>3.2187014818191501E-2</v>
      </c>
      <c r="V70">
        <v>9.0644564479588994E-3</v>
      </c>
      <c r="W70">
        <v>7.7075194567441004E-3</v>
      </c>
      <c r="X70">
        <v>9.0661782564388001E-3</v>
      </c>
      <c r="Y70" t="s">
        <v>162</v>
      </c>
      <c r="Z70">
        <v>9.0661782564388001E-3</v>
      </c>
      <c r="AA70" t="str">
        <f t="shared" si="3"/>
        <v>On</v>
      </c>
      <c r="AB70" t="str">
        <f t="shared" si="4"/>
        <v>Off</v>
      </c>
      <c r="AC70" t="str">
        <f t="shared" si="5"/>
        <v>hidden_size=64+i_att_On+t_att_Off</v>
      </c>
    </row>
    <row r="71" spans="1:29" x14ac:dyDescent="0.45">
      <c r="A71" s="1">
        <v>46168</v>
      </c>
      <c r="B71" t="s">
        <v>98</v>
      </c>
      <c r="C71" t="s">
        <v>163</v>
      </c>
      <c r="D71">
        <v>5</v>
      </c>
      <c r="E71">
        <v>128</v>
      </c>
      <c r="F71" t="s">
        <v>29</v>
      </c>
      <c r="G71" t="s">
        <v>28</v>
      </c>
      <c r="H71">
        <v>32</v>
      </c>
      <c r="I71">
        <v>0</v>
      </c>
      <c r="J71" t="s">
        <v>30</v>
      </c>
      <c r="K71">
        <v>0.01</v>
      </c>
      <c r="L71" t="s">
        <v>31</v>
      </c>
      <c r="M71">
        <v>5</v>
      </c>
      <c r="N71" t="s">
        <v>29</v>
      </c>
      <c r="O71" t="s">
        <v>28</v>
      </c>
      <c r="P71">
        <v>32</v>
      </c>
      <c r="Q71">
        <v>128</v>
      </c>
      <c r="R71">
        <v>0</v>
      </c>
      <c r="S71">
        <v>1180</v>
      </c>
      <c r="T71">
        <v>34</v>
      </c>
      <c r="U71">
        <v>3.3805045764893203E-2</v>
      </c>
      <c r="V71">
        <v>1.3949254527688E-2</v>
      </c>
      <c r="W71">
        <v>6.6185970790683998E-3</v>
      </c>
      <c r="X71">
        <v>1.39574837974376E-2</v>
      </c>
      <c r="Y71" t="s">
        <v>164</v>
      </c>
      <c r="Z71">
        <v>1.39574837974376E-2</v>
      </c>
      <c r="AA71" t="str">
        <f t="shared" si="3"/>
        <v>On</v>
      </c>
      <c r="AB71" t="str">
        <f t="shared" si="4"/>
        <v>Off</v>
      </c>
      <c r="AC71" t="str">
        <f t="shared" si="5"/>
        <v>hidden_size=32+i_att_On+t_att_Off</v>
      </c>
    </row>
    <row r="72" spans="1:29" x14ac:dyDescent="0.45">
      <c r="A72" s="1">
        <v>46168</v>
      </c>
      <c r="B72" t="s">
        <v>61</v>
      </c>
      <c r="C72" t="s">
        <v>165</v>
      </c>
      <c r="D72">
        <v>3</v>
      </c>
      <c r="E72">
        <v>128</v>
      </c>
      <c r="F72" t="s">
        <v>29</v>
      </c>
      <c r="G72" t="s">
        <v>29</v>
      </c>
      <c r="H72">
        <v>32</v>
      </c>
      <c r="I72">
        <v>0</v>
      </c>
      <c r="J72" t="s">
        <v>30</v>
      </c>
      <c r="K72">
        <v>0.01</v>
      </c>
      <c r="L72" t="s">
        <v>31</v>
      </c>
      <c r="M72">
        <v>3</v>
      </c>
      <c r="N72" t="s">
        <v>29</v>
      </c>
      <c r="O72" t="s">
        <v>29</v>
      </c>
      <c r="P72">
        <v>32</v>
      </c>
      <c r="Q72">
        <v>128</v>
      </c>
      <c r="R72">
        <v>0</v>
      </c>
      <c r="S72">
        <v>1444</v>
      </c>
      <c r="T72">
        <v>42</v>
      </c>
      <c r="U72">
        <v>3.6244900897145202E-2</v>
      </c>
      <c r="V72">
        <v>1.00474525243043E-2</v>
      </c>
      <c r="W72">
        <v>8.7324827909468997E-3</v>
      </c>
      <c r="X72">
        <v>1.00532233094175E-2</v>
      </c>
      <c r="Y72" t="s">
        <v>166</v>
      </c>
      <c r="Z72">
        <v>1.00532233094175E-2</v>
      </c>
      <c r="AA72" t="str">
        <f t="shared" si="3"/>
        <v>On</v>
      </c>
      <c r="AB72" t="str">
        <f t="shared" si="4"/>
        <v>On</v>
      </c>
      <c r="AC72" t="str">
        <f t="shared" si="5"/>
        <v>hidden_size=32+i_att_On+t_att_On</v>
      </c>
    </row>
    <row r="73" spans="1:29" x14ac:dyDescent="0.45">
      <c r="A73" s="1">
        <v>46168</v>
      </c>
      <c r="B73" t="s">
        <v>61</v>
      </c>
      <c r="C73" t="s">
        <v>167</v>
      </c>
      <c r="D73">
        <v>3</v>
      </c>
      <c r="E73">
        <v>128</v>
      </c>
      <c r="F73" t="s">
        <v>29</v>
      </c>
      <c r="G73" t="s">
        <v>28</v>
      </c>
      <c r="H73">
        <v>32</v>
      </c>
      <c r="I73">
        <v>0</v>
      </c>
      <c r="J73" t="s">
        <v>30</v>
      </c>
      <c r="K73">
        <v>0.01</v>
      </c>
      <c r="L73" t="s">
        <v>31</v>
      </c>
      <c r="M73">
        <v>3</v>
      </c>
      <c r="N73" t="s">
        <v>29</v>
      </c>
      <c r="O73" t="s">
        <v>28</v>
      </c>
      <c r="P73">
        <v>32</v>
      </c>
      <c r="Q73">
        <v>128</v>
      </c>
      <c r="R73">
        <v>0</v>
      </c>
      <c r="S73">
        <v>1380</v>
      </c>
      <c r="T73">
        <v>40</v>
      </c>
      <c r="U73">
        <v>5.1431386731564999E-2</v>
      </c>
      <c r="V73">
        <v>1.32008781656622E-2</v>
      </c>
      <c r="W73">
        <v>1.27435028553009E-2</v>
      </c>
      <c r="X73">
        <v>1.32286637607547E-2</v>
      </c>
      <c r="Y73" t="s">
        <v>168</v>
      </c>
      <c r="Z73">
        <v>1.32286637607547E-2</v>
      </c>
      <c r="AA73" t="str">
        <f t="shared" si="3"/>
        <v>On</v>
      </c>
      <c r="AB73" t="str">
        <f t="shared" si="4"/>
        <v>Off</v>
      </c>
      <c r="AC73" t="str">
        <f t="shared" si="5"/>
        <v>hidden_size=32+i_att_On+t_att_Off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all_runs_summary_all_joints_hid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Carlo Perrone</cp:lastModifiedBy>
  <dcterms:created xsi:type="dcterms:W3CDTF">2026-05-26T21:47:33Z</dcterms:created>
  <dcterms:modified xsi:type="dcterms:W3CDTF">2026-05-27T15:33:39Z</dcterms:modified>
</cp:coreProperties>
</file>